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abbyd\Downloads\"/>
    </mc:Choice>
  </mc:AlternateContent>
  <xr:revisionPtr revIDLastSave="0" documentId="8_{EA44A36C-5734-4D06-8849-23FBC4E3CA77}" xr6:coauthVersionLast="47" xr6:coauthVersionMax="47" xr10:uidLastSave="{00000000-0000-0000-0000-000000000000}"/>
  <bookViews>
    <workbookView xWindow="-108" yWindow="-108" windowWidth="30936" windowHeight="16776" xr2:uid="{00000000-000D-0000-FFFF-FFFF00000000}"/>
  </bookViews>
  <sheets>
    <sheet name="Dashboard" sheetId="24" r:id="rId1"/>
    <sheet name="TotalSales" sheetId="18" r:id="rId2"/>
    <sheet name="Country" sheetId="19" r:id="rId3"/>
    <sheet name="Top5Customers" sheetId="23"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21" i="17"/>
  <c r="O31" i="17"/>
  <c r="O32" i="17"/>
  <c r="O41" i="17"/>
  <c r="O42" i="17"/>
  <c r="O43" i="17"/>
  <c r="O58" i="17"/>
  <c r="O59" i="17"/>
  <c r="O75" i="17"/>
  <c r="O76" i="17"/>
  <c r="O80" i="17"/>
  <c r="O81" i="17"/>
  <c r="O82" i="17"/>
  <c r="O84" i="17"/>
  <c r="O85" i="17"/>
  <c r="O103" i="17"/>
  <c r="O104" i="17"/>
  <c r="O109" i="17"/>
  <c r="O119" i="17"/>
  <c r="O120" i="17"/>
  <c r="O127" i="17"/>
  <c r="O132" i="17"/>
  <c r="O141" i="17"/>
  <c r="O146" i="17"/>
  <c r="O147" i="17"/>
  <c r="O148" i="17"/>
  <c r="O164" i="17"/>
  <c r="O174" i="17"/>
  <c r="O175" i="17"/>
  <c r="O186" i="17"/>
  <c r="O188" i="17"/>
  <c r="O191" i="17"/>
  <c r="O192" i="17"/>
  <c r="O195" i="17"/>
  <c r="O197" i="17"/>
  <c r="O218" i="17"/>
  <c r="O219" i="17"/>
  <c r="O221" i="17"/>
  <c r="O229" i="17"/>
  <c r="O230" i="17"/>
  <c r="O240" i="17"/>
  <c r="O241" i="17"/>
  <c r="O252" i="17"/>
  <c r="O273" i="17"/>
  <c r="O274" i="17"/>
  <c r="O276" i="17"/>
  <c r="O278" i="17"/>
  <c r="O279" i="17"/>
  <c r="O280" i="17"/>
  <c r="O300" i="17"/>
  <c r="O301" i="17"/>
  <c r="O307" i="17"/>
  <c r="O317" i="17"/>
  <c r="O318" i="17"/>
  <c r="O329" i="17"/>
  <c r="O331" i="17"/>
  <c r="O338" i="17"/>
  <c r="O339" i="17"/>
  <c r="O340" i="17"/>
  <c r="O342" i="17"/>
  <c r="O344" i="17"/>
  <c r="O361" i="17"/>
  <c r="O362" i="17"/>
  <c r="O367" i="17"/>
  <c r="O371" i="17"/>
  <c r="O372" i="17"/>
  <c r="O373" i="17"/>
  <c r="O389" i="17"/>
  <c r="O415" i="17"/>
  <c r="O416" i="17"/>
  <c r="O417" i="17"/>
  <c r="O419" i="17"/>
  <c r="O426" i="17"/>
  <c r="O433" i="17"/>
  <c r="O439" i="17"/>
  <c r="O440" i="17"/>
  <c r="O455" i="17"/>
  <c r="O459" i="17"/>
  <c r="O460" i="17"/>
  <c r="O471" i="17"/>
  <c r="O477" i="17"/>
  <c r="O478" i="17"/>
  <c r="O483" i="17"/>
  <c r="O504" i="17"/>
  <c r="O514" i="17"/>
  <c r="O515" i="17"/>
  <c r="O516" i="17"/>
  <c r="O526" i="17"/>
  <c r="O529" i="17"/>
  <c r="O537" i="17"/>
  <c r="O538" i="17"/>
  <c r="O559" i="17"/>
  <c r="O560" i="17"/>
  <c r="O565" i="17"/>
  <c r="O566" i="17"/>
  <c r="O569" i="17"/>
  <c r="O571" i="17"/>
  <c r="O573" i="17"/>
  <c r="O593" i="17"/>
  <c r="O603" i="17"/>
  <c r="O604" i="17"/>
  <c r="O605" i="17"/>
  <c r="O614" i="17"/>
  <c r="O615" i="17"/>
  <c r="O628" i="17"/>
  <c r="O652" i="17"/>
  <c r="O654" i="17"/>
  <c r="O658" i="17"/>
  <c r="O670" i="17"/>
  <c r="O672" i="17"/>
  <c r="O674" i="17"/>
  <c r="O675" i="17"/>
  <c r="O681" i="17"/>
  <c r="O697" i="17"/>
  <c r="O703" i="17"/>
  <c r="O713" i="17"/>
  <c r="O718" i="17"/>
  <c r="O724" i="17"/>
  <c r="O725" i="17"/>
  <c r="O744" i="17"/>
  <c r="O745" i="17"/>
  <c r="O756" i="17"/>
  <c r="O757" i="17"/>
  <c r="O763" i="17"/>
  <c r="O767" i="17"/>
  <c r="O768" i="17"/>
  <c r="O769" i="17"/>
  <c r="O790" i="17"/>
  <c r="O800" i="17"/>
  <c r="O801" i="17"/>
  <c r="O802" i="17"/>
  <c r="O811" i="17"/>
  <c r="O813" i="17"/>
  <c r="O814" i="17"/>
  <c r="O815" i="17"/>
  <c r="O823" i="17"/>
  <c r="O824" i="17"/>
  <c r="O845" i="17"/>
  <c r="O846" i="17"/>
  <c r="O851" i="17"/>
  <c r="O857" i="17"/>
  <c r="O869" i="17"/>
  <c r="O889" i="17"/>
  <c r="O890" i="17"/>
  <c r="O896" i="17"/>
  <c r="O900" i="17"/>
  <c r="O901" i="17"/>
  <c r="O917" i="17"/>
  <c r="O923" i="17"/>
  <c r="O934" i="17"/>
  <c r="O939" i="17"/>
  <c r="O940" i="17"/>
  <c r="O943" i="17"/>
  <c r="O944" i="17"/>
  <c r="O961" i="17"/>
  <c r="O962" i="17"/>
  <c r="O963" i="17"/>
  <c r="O964" i="17"/>
  <c r="O966" i="17"/>
  <c r="O983" i="17"/>
  <c r="O987" i="17"/>
  <c r="O998" i="17"/>
  <c r="O999" i="17"/>
  <c r="O1000" i="17"/>
  <c r="N3" i="17"/>
  <c r="N9" i="17"/>
  <c r="N10" i="17"/>
  <c r="N12" i="17"/>
  <c r="N13" i="17"/>
  <c r="N21" i="17"/>
  <c r="N26" i="17"/>
  <c r="N36" i="17"/>
  <c r="N42" i="17"/>
  <c r="N43" i="17"/>
  <c r="N44" i="17"/>
  <c r="N46" i="17"/>
  <c r="N48" i="17"/>
  <c r="N54" i="17"/>
  <c r="N56" i="17"/>
  <c r="N57" i="17"/>
  <c r="N76" i="17"/>
  <c r="N79" i="17"/>
  <c r="N80" i="17"/>
  <c r="N86" i="17"/>
  <c r="N87" i="17"/>
  <c r="N89" i="17"/>
  <c r="N97" i="17"/>
  <c r="N98" i="17"/>
  <c r="N100" i="17"/>
  <c r="N101" i="17"/>
  <c r="N112" i="17"/>
  <c r="N131" i="17"/>
  <c r="N133" i="17"/>
  <c r="N135" i="17"/>
  <c r="N136" i="17"/>
  <c r="N139" i="17"/>
  <c r="N155" i="17"/>
  <c r="N156" i="17"/>
  <c r="N157" i="17"/>
  <c r="N158" i="17"/>
  <c r="N159" i="17"/>
  <c r="N167" i="17"/>
  <c r="N175" i="17"/>
  <c r="N181" i="17"/>
  <c r="N182" i="17"/>
  <c r="N189" i="17"/>
  <c r="N190" i="17"/>
  <c r="N197" i="17"/>
  <c r="N199" i="17"/>
  <c r="N200" i="17"/>
  <c r="N201" i="17"/>
  <c r="N202" i="17"/>
  <c r="N208" i="17"/>
  <c r="N222" i="17"/>
  <c r="N240" i="17"/>
  <c r="N241" i="17"/>
  <c r="N242" i="17"/>
  <c r="N243" i="17"/>
  <c r="N245" i="17"/>
  <c r="N246" i="17"/>
  <c r="N247" i="17"/>
  <c r="N252" i="17"/>
  <c r="N273" i="17"/>
  <c r="N274" i="17"/>
  <c r="N276" i="17"/>
  <c r="N278" i="17"/>
  <c r="N284" i="17"/>
  <c r="N285" i="17"/>
  <c r="N295" i="17"/>
  <c r="N296" i="17"/>
  <c r="N298" i="17"/>
  <c r="N299" i="17"/>
  <c r="N321" i="17"/>
  <c r="N322" i="17"/>
  <c r="N328" i="17"/>
  <c r="N329" i="17"/>
  <c r="N332" i="17"/>
  <c r="N334" i="17"/>
  <c r="N342" i="17"/>
  <c r="N353" i="17"/>
  <c r="N354" i="17"/>
  <c r="N355" i="17"/>
  <c r="N362" i="17"/>
  <c r="N364" i="17"/>
  <c r="N366" i="17"/>
  <c r="N372" i="17"/>
  <c r="N373" i="17"/>
  <c r="N387" i="17"/>
  <c r="N388" i="17"/>
  <c r="N394" i="17"/>
  <c r="N398" i="17"/>
  <c r="N417" i="17"/>
  <c r="N419" i="17"/>
  <c r="N425" i="17"/>
  <c r="N428" i="17"/>
  <c r="N441" i="17"/>
  <c r="N442" i="17"/>
  <c r="N443" i="17"/>
  <c r="N444" i="17"/>
  <c r="N445" i="17"/>
  <c r="N453" i="17"/>
  <c r="N467" i="17"/>
  <c r="N469" i="17"/>
  <c r="N472" i="17"/>
  <c r="N475" i="17"/>
  <c r="N483" i="17"/>
  <c r="N486" i="17"/>
  <c r="N487" i="17"/>
  <c r="N494" i="17"/>
  <c r="N510" i="17"/>
  <c r="N511" i="17"/>
  <c r="N520" i="17"/>
  <c r="N526" i="17"/>
  <c r="N530" i="17"/>
  <c r="N531" i="17"/>
  <c r="N532" i="17"/>
  <c r="N533" i="17"/>
  <c r="N538" i="17"/>
  <c r="N554" i="17"/>
  <c r="N555" i="17"/>
  <c r="N557" i="17"/>
  <c r="N562" i="17"/>
  <c r="N563" i="17"/>
  <c r="N564" i="17"/>
  <c r="N582" i="17"/>
  <c r="N583" i="17"/>
  <c r="N584" i="17"/>
  <c r="N604" i="17"/>
  <c r="N607" i="17"/>
  <c r="N615" i="17"/>
  <c r="N618" i="17"/>
  <c r="N620" i="17"/>
  <c r="N621" i="17"/>
  <c r="N629" i="17"/>
  <c r="N630" i="17"/>
  <c r="N643" i="17"/>
  <c r="N648" i="17"/>
  <c r="N659" i="17"/>
  <c r="N661" i="17"/>
  <c r="N662" i="17"/>
  <c r="N663" i="17"/>
  <c r="N665" i="17"/>
  <c r="N692" i="17"/>
  <c r="N695" i="17"/>
  <c r="N696" i="17"/>
  <c r="N703" i="17"/>
  <c r="N704" i="17"/>
  <c r="N714" i="17"/>
  <c r="N717" i="17"/>
  <c r="N738" i="17"/>
  <c r="N739" i="17"/>
  <c r="N740" i="17"/>
  <c r="N751" i="17"/>
  <c r="N753" i="17"/>
  <c r="N769" i="17"/>
  <c r="N794" i="17"/>
  <c r="N795" i="17"/>
  <c r="N799" i="17"/>
  <c r="N801" i="17"/>
  <c r="N803" i="17"/>
  <c r="N804" i="17"/>
  <c r="N805" i="17"/>
  <c r="N824" i="17"/>
  <c r="N827" i="17"/>
  <c r="N838" i="17"/>
  <c r="N847" i="17"/>
  <c r="N849" i="17"/>
  <c r="N873" i="17"/>
  <c r="N874" i="17"/>
  <c r="N879" i="17"/>
  <c r="N882" i="17"/>
  <c r="N884" i="17"/>
  <c r="N885" i="17"/>
  <c r="N893" i="17"/>
  <c r="N894" i="17"/>
  <c r="N895" i="17"/>
  <c r="N906" i="17"/>
  <c r="N907" i="17"/>
  <c r="N915" i="17"/>
  <c r="N916" i="17"/>
  <c r="N917" i="17"/>
  <c r="N918" i="17"/>
  <c r="N922" i="17"/>
  <c r="N923" i="17"/>
  <c r="N926" i="17"/>
  <c r="N945" i="17"/>
  <c r="N949" i="17"/>
  <c r="N950" i="17"/>
  <c r="N951" i="17"/>
  <c r="N967" i="17"/>
  <c r="N983" i="17"/>
  <c r="N984" i="17"/>
  <c r="N986" i="17"/>
  <c r="N992" i="17"/>
  <c r="N994" i="17"/>
  <c r="M3" i="17"/>
  <c r="M4" i="17"/>
  <c r="M6" i="17"/>
  <c r="M14" i="17"/>
  <c r="M15" i="17"/>
  <c r="M16" i="17"/>
  <c r="M25" i="17"/>
  <c r="M26" i="17"/>
  <c r="M30" i="17"/>
  <c r="M31" i="17"/>
  <c r="M33" i="17"/>
  <c r="M35" i="17"/>
  <c r="M36" i="17"/>
  <c r="M37" i="17"/>
  <c r="M48" i="17"/>
  <c r="M53" i="17"/>
  <c r="M57" i="17"/>
  <c r="M58" i="17"/>
  <c r="M59" i="17"/>
  <c r="M61" i="17"/>
  <c r="M68" i="17"/>
  <c r="M69" i="17"/>
  <c r="M70" i="17"/>
  <c r="M74" i="17"/>
  <c r="M75" i="17"/>
  <c r="M76" i="17"/>
  <c r="M77" i="17"/>
  <c r="M81" i="17"/>
  <c r="M91" i="17"/>
  <c r="M92" i="17"/>
  <c r="M96" i="17"/>
  <c r="M97" i="17"/>
  <c r="M98" i="17"/>
  <c r="M101" i="17"/>
  <c r="M102" i="17"/>
  <c r="M103" i="17"/>
  <c r="M105" i="17"/>
  <c r="M114" i="17"/>
  <c r="M124" i="17"/>
  <c r="M125" i="17"/>
  <c r="M127" i="17"/>
  <c r="M134" i="17"/>
  <c r="M135" i="17"/>
  <c r="M136" i="17"/>
  <c r="M145" i="17"/>
  <c r="M146" i="17"/>
  <c r="M147" i="17"/>
  <c r="M149" i="17"/>
  <c r="M158" i="17"/>
  <c r="M163" i="17"/>
  <c r="M164" i="17"/>
  <c r="M167" i="17"/>
  <c r="M168" i="17"/>
  <c r="M178" i="17"/>
  <c r="M179" i="17"/>
  <c r="M180" i="17"/>
  <c r="M182" i="17"/>
  <c r="M185" i="17"/>
  <c r="M186" i="17"/>
  <c r="M191" i="17"/>
  <c r="M201" i="17"/>
  <c r="M206" i="17"/>
  <c r="M207" i="17"/>
  <c r="M208" i="17"/>
  <c r="M211" i="17"/>
  <c r="M212" i="17"/>
  <c r="M222" i="17"/>
  <c r="M224" i="17"/>
  <c r="M225" i="17"/>
  <c r="M235" i="17"/>
  <c r="M237" i="17"/>
  <c r="M245" i="17"/>
  <c r="M246" i="17"/>
  <c r="M252" i="17"/>
  <c r="M253" i="17"/>
  <c r="M255" i="17"/>
  <c r="M256" i="17"/>
  <c r="M257" i="17"/>
  <c r="M273" i="17"/>
  <c r="M274" i="17"/>
  <c r="M278" i="17"/>
  <c r="M279" i="17"/>
  <c r="M281" i="17"/>
  <c r="M289" i="17"/>
  <c r="M290" i="17"/>
  <c r="M295" i="17"/>
  <c r="M296" i="17"/>
  <c r="M311" i="17"/>
  <c r="M312" i="17"/>
  <c r="M316" i="17"/>
  <c r="M322" i="17"/>
  <c r="M323" i="17"/>
  <c r="M331" i="17"/>
  <c r="M339" i="17"/>
  <c r="M340" i="17"/>
  <c r="M354" i="17"/>
  <c r="M356" i="17"/>
  <c r="M360" i="17"/>
  <c r="M361" i="17"/>
  <c r="M377" i="17"/>
  <c r="M378" i="17"/>
  <c r="M382" i="17"/>
  <c r="M383" i="17"/>
  <c r="M384" i="17"/>
  <c r="M387" i="17"/>
  <c r="M389" i="17"/>
  <c r="M405" i="17"/>
  <c r="M409" i="17"/>
  <c r="M410" i="17"/>
  <c r="M411" i="17"/>
  <c r="M413" i="17"/>
  <c r="M419" i="17"/>
  <c r="M421" i="17"/>
  <c r="M422" i="17"/>
  <c r="M428" i="17"/>
  <c r="M442" i="17"/>
  <c r="M444" i="17"/>
  <c r="M453" i="17"/>
  <c r="M454" i="17"/>
  <c r="M455" i="17"/>
  <c r="M470" i="17"/>
  <c r="M471" i="17"/>
  <c r="M472" i="17"/>
  <c r="M485" i="17"/>
  <c r="M486" i="17"/>
  <c r="M487" i="17"/>
  <c r="M488" i="17"/>
  <c r="M498" i="17"/>
  <c r="M499" i="17"/>
  <c r="M508" i="17"/>
  <c r="M509" i="17"/>
  <c r="M510" i="17"/>
  <c r="M512" i="17"/>
  <c r="M514" i="17"/>
  <c r="M515" i="17"/>
  <c r="M516" i="17"/>
  <c r="M519" i="17"/>
  <c r="M520" i="17"/>
  <c r="M532" i="17"/>
  <c r="M534" i="17"/>
  <c r="M536" i="17"/>
  <c r="M537" i="17"/>
  <c r="M538" i="17"/>
  <c r="M541" i="17"/>
  <c r="M552" i="17"/>
  <c r="M563" i="17"/>
  <c r="M564" i="17"/>
  <c r="M565" i="17"/>
  <c r="M574" i="17"/>
  <c r="M576" i="17"/>
  <c r="M577" i="17"/>
  <c r="M581" i="17"/>
  <c r="M582" i="17"/>
  <c r="M597" i="17"/>
  <c r="M598" i="17"/>
  <c r="M600" i="17"/>
  <c r="M608" i="17"/>
  <c r="M609" i="17"/>
  <c r="M625" i="17"/>
  <c r="M626" i="17"/>
  <c r="M631" i="17"/>
  <c r="M641" i="17"/>
  <c r="M642" i="17"/>
  <c r="M644" i="17"/>
  <c r="M652" i="17"/>
  <c r="M662" i="17"/>
  <c r="M663" i="17"/>
  <c r="M664" i="17"/>
  <c r="M669" i="17"/>
  <c r="M670" i="17"/>
  <c r="M672" i="17"/>
  <c r="M673" i="17"/>
  <c r="M674" i="17"/>
  <c r="M675" i="17"/>
  <c r="M691" i="17"/>
  <c r="M692" i="17"/>
  <c r="M695" i="17"/>
  <c r="M697" i="17"/>
  <c r="M718" i="17"/>
  <c r="M719" i="17"/>
  <c r="M729" i="17"/>
  <c r="M735" i="17"/>
  <c r="M736" i="17"/>
  <c r="M739" i="17"/>
  <c r="M751" i="17"/>
  <c r="M752" i="17"/>
  <c r="M754" i="17"/>
  <c r="M763" i="17"/>
  <c r="M765" i="17"/>
  <c r="M766" i="17"/>
  <c r="M779" i="17"/>
  <c r="M780" i="17"/>
  <c r="M784" i="17"/>
  <c r="M785" i="17"/>
  <c r="M795" i="17"/>
  <c r="M796" i="17"/>
  <c r="M798" i="17"/>
  <c r="M801" i="17"/>
  <c r="M816" i="17"/>
  <c r="M817" i="17"/>
  <c r="M818" i="17"/>
  <c r="M819" i="17"/>
  <c r="M820" i="17"/>
  <c r="M828" i="17"/>
  <c r="M829" i="17"/>
  <c r="M845" i="17"/>
  <c r="M846" i="17"/>
  <c r="M850" i="17"/>
  <c r="M851" i="17"/>
  <c r="M862" i="17"/>
  <c r="M864" i="17"/>
  <c r="M872" i="17"/>
  <c r="M873" i="17"/>
  <c r="M882" i="17"/>
  <c r="M883" i="17"/>
  <c r="M889" i="17"/>
  <c r="M890" i="17"/>
  <c r="M893" i="17"/>
  <c r="M894" i="17"/>
  <c r="M905" i="17"/>
  <c r="M906" i="17"/>
  <c r="M911" i="17"/>
  <c r="M912" i="17"/>
  <c r="M914" i="17"/>
  <c r="M916" i="17"/>
  <c r="M917" i="17"/>
  <c r="M933" i="17"/>
  <c r="M937" i="17"/>
  <c r="M938" i="17"/>
  <c r="M939" i="17"/>
  <c r="M948" i="17"/>
  <c r="M949" i="17"/>
  <c r="M950" i="17"/>
  <c r="M961" i="17"/>
  <c r="M970" i="17"/>
  <c r="M971" i="17"/>
  <c r="M977" i="17"/>
  <c r="M978" i="17"/>
  <c r="M991" i="17"/>
  <c r="M992" i="17"/>
  <c r="M993" i="17"/>
  <c r="M994" i="17"/>
  <c r="M998" i="17"/>
  <c r="M1000" i="17"/>
  <c r="M1001" i="17"/>
  <c r="I3" i="17"/>
  <c r="J3" i="17"/>
  <c r="O3" i="17" s="1"/>
  <c r="K3" i="17"/>
  <c r="L3" i="17"/>
  <c r="I4" i="17"/>
  <c r="N4" i="17" s="1"/>
  <c r="J4" i="17"/>
  <c r="O4" i="17" s="1"/>
  <c r="K4" i="17"/>
  <c r="L4" i="17"/>
  <c r="I5" i="17"/>
  <c r="N5" i="17" s="1"/>
  <c r="J5" i="17"/>
  <c r="O5" i="17" s="1"/>
  <c r="K5" i="17"/>
  <c r="L5" i="17"/>
  <c r="M5" i="17" s="1"/>
  <c r="I6" i="17"/>
  <c r="N6" i="17" s="1"/>
  <c r="J6" i="17"/>
  <c r="O6" i="17" s="1"/>
  <c r="K6" i="17"/>
  <c r="L6" i="17"/>
  <c r="I7" i="17"/>
  <c r="N7" i="17" s="1"/>
  <c r="J7" i="17"/>
  <c r="O7" i="17" s="1"/>
  <c r="K7" i="17"/>
  <c r="L7" i="17"/>
  <c r="M7" i="17" s="1"/>
  <c r="I8" i="17"/>
  <c r="N8" i="17" s="1"/>
  <c r="J8" i="17"/>
  <c r="O8" i="17" s="1"/>
  <c r="K8" i="17"/>
  <c r="L8" i="17"/>
  <c r="M8" i="17" s="1"/>
  <c r="I9" i="17"/>
  <c r="J9" i="17"/>
  <c r="O9" i="17" s="1"/>
  <c r="K9" i="17"/>
  <c r="L9" i="17"/>
  <c r="M9" i="17" s="1"/>
  <c r="I10" i="17"/>
  <c r="J10" i="17"/>
  <c r="O10" i="17" s="1"/>
  <c r="K10" i="17"/>
  <c r="L10" i="17"/>
  <c r="M10" i="17" s="1"/>
  <c r="I11" i="17"/>
  <c r="N11" i="17" s="1"/>
  <c r="J11" i="17"/>
  <c r="O11" i="17" s="1"/>
  <c r="K11" i="17"/>
  <c r="L11" i="17"/>
  <c r="M11" i="17" s="1"/>
  <c r="I12" i="17"/>
  <c r="J12" i="17"/>
  <c r="O12" i="17" s="1"/>
  <c r="K12" i="17"/>
  <c r="L12" i="17"/>
  <c r="M12" i="17" s="1"/>
  <c r="I13" i="17"/>
  <c r="J13" i="17"/>
  <c r="O13" i="17" s="1"/>
  <c r="K13" i="17"/>
  <c r="L13" i="17"/>
  <c r="M13" i="17" s="1"/>
  <c r="I14" i="17"/>
  <c r="N14" i="17" s="1"/>
  <c r="J14" i="17"/>
  <c r="O14" i="17" s="1"/>
  <c r="K14" i="17"/>
  <c r="L14" i="17"/>
  <c r="I15" i="17"/>
  <c r="N15" i="17" s="1"/>
  <c r="J15" i="17"/>
  <c r="O15" i="17" s="1"/>
  <c r="K15" i="17"/>
  <c r="L15" i="17"/>
  <c r="I16" i="17"/>
  <c r="N16" i="17" s="1"/>
  <c r="J16" i="17"/>
  <c r="O16" i="17" s="1"/>
  <c r="K16" i="17"/>
  <c r="L16" i="17"/>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J21" i="17"/>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I26" i="17"/>
  <c r="J26" i="17"/>
  <c r="O26" i="17" s="1"/>
  <c r="K26" i="17"/>
  <c r="L26" i="17"/>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I31" i="17"/>
  <c r="N31" i="17" s="1"/>
  <c r="J31" i="17"/>
  <c r="K31" i="17"/>
  <c r="L31" i="17"/>
  <c r="I32" i="17"/>
  <c r="N32" i="17" s="1"/>
  <c r="J32" i="17"/>
  <c r="K32" i="17"/>
  <c r="L32" i="17"/>
  <c r="M32" i="17" s="1"/>
  <c r="I33" i="17"/>
  <c r="N33" i="17" s="1"/>
  <c r="J33" i="17"/>
  <c r="O33" i="17" s="1"/>
  <c r="K33" i="17"/>
  <c r="L33" i="17"/>
  <c r="I34" i="17"/>
  <c r="N34" i="17" s="1"/>
  <c r="J34" i="17"/>
  <c r="O34" i="17" s="1"/>
  <c r="K34" i="17"/>
  <c r="L34" i="17"/>
  <c r="M34" i="17" s="1"/>
  <c r="I35" i="17"/>
  <c r="N35" i="17" s="1"/>
  <c r="J35" i="17"/>
  <c r="O35" i="17" s="1"/>
  <c r="K35" i="17"/>
  <c r="L35" i="17"/>
  <c r="I36" i="17"/>
  <c r="J36" i="17"/>
  <c r="O36" i="17" s="1"/>
  <c r="K36" i="17"/>
  <c r="L36" i="17"/>
  <c r="I37" i="17"/>
  <c r="N37" i="17" s="1"/>
  <c r="J37" i="17"/>
  <c r="O37" i="17" s="1"/>
  <c r="K37" i="17"/>
  <c r="L37" i="17"/>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K41" i="17"/>
  <c r="L41" i="17"/>
  <c r="M41" i="17" s="1"/>
  <c r="I42" i="17"/>
  <c r="J42" i="17"/>
  <c r="K42" i="17"/>
  <c r="L42" i="17"/>
  <c r="M42" i="17" s="1"/>
  <c r="I43" i="17"/>
  <c r="J43" i="17"/>
  <c r="K43" i="17"/>
  <c r="L43" i="17"/>
  <c r="M43" i="17" s="1"/>
  <c r="I44" i="17"/>
  <c r="J44" i="17"/>
  <c r="O44" i="17" s="1"/>
  <c r="K44" i="17"/>
  <c r="L44" i="17"/>
  <c r="M44" i="17" s="1"/>
  <c r="I45" i="17"/>
  <c r="N45" i="17" s="1"/>
  <c r="J45" i="17"/>
  <c r="O45" i="17" s="1"/>
  <c r="K45" i="17"/>
  <c r="L45" i="17"/>
  <c r="M45" i="17" s="1"/>
  <c r="I46" i="17"/>
  <c r="J46" i="17"/>
  <c r="O46" i="17" s="1"/>
  <c r="K46" i="17"/>
  <c r="L46" i="17"/>
  <c r="M46" i="17" s="1"/>
  <c r="I47" i="17"/>
  <c r="N47" i="17" s="1"/>
  <c r="J47" i="17"/>
  <c r="O47" i="17" s="1"/>
  <c r="K47" i="17"/>
  <c r="L47" i="17"/>
  <c r="M47" i="17" s="1"/>
  <c r="I48" i="17"/>
  <c r="J48" i="17"/>
  <c r="O48" i="17" s="1"/>
  <c r="K48" i="17"/>
  <c r="L48" i="17"/>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I54" i="17"/>
  <c r="J54" i="17"/>
  <c r="O54" i="17" s="1"/>
  <c r="K54" i="17"/>
  <c r="L54" i="17"/>
  <c r="M54" i="17" s="1"/>
  <c r="I55" i="17"/>
  <c r="N55" i="17" s="1"/>
  <c r="J55" i="17"/>
  <c r="O55" i="17" s="1"/>
  <c r="K55" i="17"/>
  <c r="L55" i="17"/>
  <c r="M55" i="17" s="1"/>
  <c r="I56" i="17"/>
  <c r="J56" i="17"/>
  <c r="O56" i="17" s="1"/>
  <c r="K56" i="17"/>
  <c r="L56" i="17"/>
  <c r="M56" i="17" s="1"/>
  <c r="I57" i="17"/>
  <c r="J57" i="17"/>
  <c r="O57" i="17" s="1"/>
  <c r="K57" i="17"/>
  <c r="L57" i="17"/>
  <c r="I58" i="17"/>
  <c r="N58" i="17" s="1"/>
  <c r="J58" i="17"/>
  <c r="K58" i="17"/>
  <c r="L58" i="17"/>
  <c r="I59" i="17"/>
  <c r="N59" i="17" s="1"/>
  <c r="J59" i="17"/>
  <c r="K59" i="17"/>
  <c r="L59" i="17"/>
  <c r="I60" i="17"/>
  <c r="N60" i="17" s="1"/>
  <c r="J60" i="17"/>
  <c r="O60" i="17" s="1"/>
  <c r="K60" i="17"/>
  <c r="L60" i="17"/>
  <c r="M60" i="17" s="1"/>
  <c r="I61" i="17"/>
  <c r="N61" i="17" s="1"/>
  <c r="J61" i="17"/>
  <c r="O61" i="17" s="1"/>
  <c r="K61" i="17"/>
  <c r="L61" i="17"/>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I69" i="17"/>
  <c r="N69" i="17" s="1"/>
  <c r="J69" i="17"/>
  <c r="O69" i="17" s="1"/>
  <c r="K69" i="17"/>
  <c r="L69" i="17"/>
  <c r="I70" i="17"/>
  <c r="N70" i="17" s="1"/>
  <c r="J70" i="17"/>
  <c r="O70" i="17" s="1"/>
  <c r="K70" i="17"/>
  <c r="L70" i="17"/>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I75" i="17"/>
  <c r="N75" i="17" s="1"/>
  <c r="J75" i="17"/>
  <c r="K75" i="17"/>
  <c r="L75" i="17"/>
  <c r="I76" i="17"/>
  <c r="J76" i="17"/>
  <c r="K76" i="17"/>
  <c r="L76" i="17"/>
  <c r="I77" i="17"/>
  <c r="N77" i="17" s="1"/>
  <c r="J77" i="17"/>
  <c r="O77" i="17" s="1"/>
  <c r="K77" i="17"/>
  <c r="L77" i="17"/>
  <c r="I78" i="17"/>
  <c r="N78" i="17" s="1"/>
  <c r="J78" i="17"/>
  <c r="O78" i="17" s="1"/>
  <c r="K78" i="17"/>
  <c r="L78" i="17"/>
  <c r="M78" i="17" s="1"/>
  <c r="I79" i="17"/>
  <c r="J79" i="17"/>
  <c r="O79" i="17" s="1"/>
  <c r="K79" i="17"/>
  <c r="L79" i="17"/>
  <c r="M79" i="17" s="1"/>
  <c r="I80" i="17"/>
  <c r="J80" i="17"/>
  <c r="K80" i="17"/>
  <c r="L80" i="17"/>
  <c r="M80" i="17" s="1"/>
  <c r="I81" i="17"/>
  <c r="N81" i="17" s="1"/>
  <c r="J81" i="17"/>
  <c r="K81" i="17"/>
  <c r="L81" i="17"/>
  <c r="I82" i="17"/>
  <c r="N82" i="17" s="1"/>
  <c r="J82" i="17"/>
  <c r="K82" i="17"/>
  <c r="L82" i="17"/>
  <c r="M82" i="17" s="1"/>
  <c r="I83" i="17"/>
  <c r="N83" i="17" s="1"/>
  <c r="J83" i="17"/>
  <c r="O83" i="17" s="1"/>
  <c r="K83" i="17"/>
  <c r="L83" i="17"/>
  <c r="M83" i="17" s="1"/>
  <c r="I84" i="17"/>
  <c r="N84" i="17" s="1"/>
  <c r="J84" i="17"/>
  <c r="K84" i="17"/>
  <c r="L84" i="17"/>
  <c r="M84" i="17" s="1"/>
  <c r="I85" i="17"/>
  <c r="N85" i="17" s="1"/>
  <c r="J85" i="17"/>
  <c r="K85" i="17"/>
  <c r="L85" i="17"/>
  <c r="M85" i="17" s="1"/>
  <c r="I86" i="17"/>
  <c r="J86" i="17"/>
  <c r="O86" i="17" s="1"/>
  <c r="K86" i="17"/>
  <c r="L86" i="17"/>
  <c r="M86" i="17" s="1"/>
  <c r="I87" i="17"/>
  <c r="J87" i="17"/>
  <c r="O87" i="17" s="1"/>
  <c r="K87" i="17"/>
  <c r="L87" i="17"/>
  <c r="M87" i="17" s="1"/>
  <c r="I88" i="17"/>
  <c r="N88" i="17" s="1"/>
  <c r="J88" i="17"/>
  <c r="O88" i="17" s="1"/>
  <c r="K88" i="17"/>
  <c r="L88" i="17"/>
  <c r="M88" i="17" s="1"/>
  <c r="I89" i="17"/>
  <c r="J89" i="17"/>
  <c r="O89" i="17" s="1"/>
  <c r="K89" i="17"/>
  <c r="L89" i="17"/>
  <c r="M89" i="17" s="1"/>
  <c r="I90" i="17"/>
  <c r="N90" i="17" s="1"/>
  <c r="J90" i="17"/>
  <c r="O90" i="17" s="1"/>
  <c r="K90" i="17"/>
  <c r="L90" i="17"/>
  <c r="M90" i="17" s="1"/>
  <c r="I91" i="17"/>
  <c r="N91" i="17" s="1"/>
  <c r="J91" i="17"/>
  <c r="O91" i="17" s="1"/>
  <c r="K91" i="17"/>
  <c r="L91" i="17"/>
  <c r="I92" i="17"/>
  <c r="N92" i="17" s="1"/>
  <c r="J92" i="17"/>
  <c r="O92" i="17" s="1"/>
  <c r="K92" i="17"/>
  <c r="L92" i="17"/>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I97" i="17"/>
  <c r="J97" i="17"/>
  <c r="O97" i="17" s="1"/>
  <c r="K97" i="17"/>
  <c r="L97" i="17"/>
  <c r="I98" i="17"/>
  <c r="J98" i="17"/>
  <c r="O98" i="17" s="1"/>
  <c r="K98" i="17"/>
  <c r="L98" i="17"/>
  <c r="I99" i="17"/>
  <c r="N99" i="17" s="1"/>
  <c r="J99" i="17"/>
  <c r="O99" i="17" s="1"/>
  <c r="K99" i="17"/>
  <c r="L99" i="17"/>
  <c r="M99" i="17" s="1"/>
  <c r="I100" i="17"/>
  <c r="J100" i="17"/>
  <c r="O100" i="17" s="1"/>
  <c r="K100" i="17"/>
  <c r="L100" i="17"/>
  <c r="M100" i="17" s="1"/>
  <c r="I101" i="17"/>
  <c r="J101" i="17"/>
  <c r="O101" i="17" s="1"/>
  <c r="K101" i="17"/>
  <c r="L101" i="17"/>
  <c r="I102" i="17"/>
  <c r="N102" i="17" s="1"/>
  <c r="J102" i="17"/>
  <c r="O102" i="17" s="1"/>
  <c r="K102" i="17"/>
  <c r="L102" i="17"/>
  <c r="I103" i="17"/>
  <c r="N103" i="17" s="1"/>
  <c r="J103" i="17"/>
  <c r="K103" i="17"/>
  <c r="L103" i="17"/>
  <c r="I104" i="17"/>
  <c r="N104" i="17" s="1"/>
  <c r="J104" i="17"/>
  <c r="K104" i="17"/>
  <c r="L104" i="17"/>
  <c r="M104" i="17" s="1"/>
  <c r="I105" i="17"/>
  <c r="N105" i="17" s="1"/>
  <c r="J105" i="17"/>
  <c r="O105" i="17" s="1"/>
  <c r="K105" i="17"/>
  <c r="L105" i="17"/>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K109" i="17"/>
  <c r="L109" i="17"/>
  <c r="M109" i="17" s="1"/>
  <c r="I110" i="17"/>
  <c r="N110" i="17" s="1"/>
  <c r="J110" i="17"/>
  <c r="O110" i="17" s="1"/>
  <c r="K110" i="17"/>
  <c r="L110" i="17"/>
  <c r="M110" i="17" s="1"/>
  <c r="I111" i="17"/>
  <c r="N111" i="17" s="1"/>
  <c r="J111" i="17"/>
  <c r="O111" i="17" s="1"/>
  <c r="K111" i="17"/>
  <c r="L111" i="17"/>
  <c r="M111" i="17" s="1"/>
  <c r="I112" i="17"/>
  <c r="J112" i="17"/>
  <c r="O112" i="17" s="1"/>
  <c r="K112" i="17"/>
  <c r="L112" i="17"/>
  <c r="M112" i="17" s="1"/>
  <c r="I113" i="17"/>
  <c r="N113" i="17" s="1"/>
  <c r="J113" i="17"/>
  <c r="O113" i="17" s="1"/>
  <c r="K113" i="17"/>
  <c r="L113" i="17"/>
  <c r="M113" i="17" s="1"/>
  <c r="I114" i="17"/>
  <c r="N114" i="17" s="1"/>
  <c r="J114" i="17"/>
  <c r="O114" i="17" s="1"/>
  <c r="K114" i="17"/>
  <c r="L114" i="17"/>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K119" i="17"/>
  <c r="L119" i="17"/>
  <c r="M119" i="17" s="1"/>
  <c r="I120" i="17"/>
  <c r="N120" i="17" s="1"/>
  <c r="J120" i="17"/>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I125" i="17"/>
  <c r="N125" i="17" s="1"/>
  <c r="J125" i="17"/>
  <c r="O125" i="17" s="1"/>
  <c r="K125" i="17"/>
  <c r="L125" i="17"/>
  <c r="I126" i="17"/>
  <c r="N126" i="17" s="1"/>
  <c r="J126" i="17"/>
  <c r="O126" i="17" s="1"/>
  <c r="K126" i="17"/>
  <c r="L126" i="17"/>
  <c r="M126" i="17" s="1"/>
  <c r="I127" i="17"/>
  <c r="N127" i="17" s="1"/>
  <c r="J127" i="17"/>
  <c r="K127" i="17"/>
  <c r="L127" i="17"/>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J131" i="17"/>
  <c r="O131" i="17" s="1"/>
  <c r="K131" i="17"/>
  <c r="L131" i="17"/>
  <c r="M131" i="17" s="1"/>
  <c r="I132" i="17"/>
  <c r="N132" i="17" s="1"/>
  <c r="J132" i="17"/>
  <c r="K132" i="17"/>
  <c r="L132" i="17"/>
  <c r="M132" i="17" s="1"/>
  <c r="I133" i="17"/>
  <c r="J133" i="17"/>
  <c r="O133" i="17" s="1"/>
  <c r="K133" i="17"/>
  <c r="L133" i="17"/>
  <c r="M133" i="17" s="1"/>
  <c r="I134" i="17"/>
  <c r="N134" i="17" s="1"/>
  <c r="J134" i="17"/>
  <c r="O134" i="17" s="1"/>
  <c r="K134" i="17"/>
  <c r="L134" i="17"/>
  <c r="I135" i="17"/>
  <c r="J135" i="17"/>
  <c r="O135" i="17" s="1"/>
  <c r="K135" i="17"/>
  <c r="L135" i="17"/>
  <c r="I136" i="17"/>
  <c r="J136" i="17"/>
  <c r="O136" i="17" s="1"/>
  <c r="K136" i="17"/>
  <c r="L136" i="17"/>
  <c r="I137" i="17"/>
  <c r="N137" i="17" s="1"/>
  <c r="J137" i="17"/>
  <c r="O137" i="17" s="1"/>
  <c r="K137" i="17"/>
  <c r="L137" i="17"/>
  <c r="M137" i="17" s="1"/>
  <c r="I138" i="17"/>
  <c r="N138" i="17" s="1"/>
  <c r="J138" i="17"/>
  <c r="O138" i="17" s="1"/>
  <c r="K138" i="17"/>
  <c r="L138" i="17"/>
  <c r="M138" i="17" s="1"/>
  <c r="I139" i="17"/>
  <c r="J139" i="17"/>
  <c r="O139" i="17" s="1"/>
  <c r="K139" i="17"/>
  <c r="L139" i="17"/>
  <c r="M139" i="17" s="1"/>
  <c r="I140" i="17"/>
  <c r="N140" i="17" s="1"/>
  <c r="J140" i="17"/>
  <c r="O140" i="17" s="1"/>
  <c r="K140" i="17"/>
  <c r="L140" i="17"/>
  <c r="M140" i="17" s="1"/>
  <c r="I141" i="17"/>
  <c r="N141" i="17" s="1"/>
  <c r="J141" i="17"/>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I146" i="17"/>
  <c r="N146" i="17" s="1"/>
  <c r="J146" i="17"/>
  <c r="K146" i="17"/>
  <c r="L146" i="17"/>
  <c r="I147" i="17"/>
  <c r="N147" i="17" s="1"/>
  <c r="J147" i="17"/>
  <c r="K147" i="17"/>
  <c r="L147" i="17"/>
  <c r="I148" i="17"/>
  <c r="N148" i="17" s="1"/>
  <c r="J148" i="17"/>
  <c r="K148" i="17"/>
  <c r="L148" i="17"/>
  <c r="M148" i="17" s="1"/>
  <c r="I149" i="17"/>
  <c r="N149" i="17" s="1"/>
  <c r="J149" i="17"/>
  <c r="O149" i="17" s="1"/>
  <c r="K149" i="17"/>
  <c r="L149" i="17"/>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J155" i="17"/>
  <c r="O155" i="17" s="1"/>
  <c r="K155" i="17"/>
  <c r="L155" i="17"/>
  <c r="M155" i="17" s="1"/>
  <c r="I156" i="17"/>
  <c r="J156" i="17"/>
  <c r="O156" i="17" s="1"/>
  <c r="K156" i="17"/>
  <c r="L156" i="17"/>
  <c r="M156" i="17" s="1"/>
  <c r="I157" i="17"/>
  <c r="J157" i="17"/>
  <c r="O157" i="17" s="1"/>
  <c r="K157" i="17"/>
  <c r="L157" i="17"/>
  <c r="M157" i="17" s="1"/>
  <c r="I158" i="17"/>
  <c r="J158" i="17"/>
  <c r="O158" i="17" s="1"/>
  <c r="K158" i="17"/>
  <c r="L158" i="17"/>
  <c r="I159" i="17"/>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I164" i="17"/>
  <c r="N164" i="17" s="1"/>
  <c r="J164" i="17"/>
  <c r="K164" i="17"/>
  <c r="L164" i="17"/>
  <c r="I165" i="17"/>
  <c r="N165" i="17" s="1"/>
  <c r="J165" i="17"/>
  <c r="O165" i="17" s="1"/>
  <c r="K165" i="17"/>
  <c r="L165" i="17"/>
  <c r="M165" i="17" s="1"/>
  <c r="I166" i="17"/>
  <c r="N166" i="17" s="1"/>
  <c r="J166" i="17"/>
  <c r="O166" i="17" s="1"/>
  <c r="K166" i="17"/>
  <c r="L166" i="17"/>
  <c r="M166" i="17" s="1"/>
  <c r="I167" i="17"/>
  <c r="J167" i="17"/>
  <c r="O167" i="17" s="1"/>
  <c r="K167" i="17"/>
  <c r="L167" i="17"/>
  <c r="I168" i="17"/>
  <c r="N168" i="17" s="1"/>
  <c r="J168" i="17"/>
  <c r="O168" i="17" s="1"/>
  <c r="K168" i="17"/>
  <c r="L168" i="17"/>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K174" i="17"/>
  <c r="L174" i="17"/>
  <c r="M174" i="17" s="1"/>
  <c r="I175" i="17"/>
  <c r="J175" i="17"/>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I179" i="17"/>
  <c r="N179" i="17" s="1"/>
  <c r="J179" i="17"/>
  <c r="O179" i="17" s="1"/>
  <c r="K179" i="17"/>
  <c r="L179" i="17"/>
  <c r="I180" i="17"/>
  <c r="N180" i="17" s="1"/>
  <c r="J180" i="17"/>
  <c r="O180" i="17" s="1"/>
  <c r="K180" i="17"/>
  <c r="L180" i="17"/>
  <c r="I181" i="17"/>
  <c r="J181" i="17"/>
  <c r="O181" i="17" s="1"/>
  <c r="K181" i="17"/>
  <c r="L181" i="17"/>
  <c r="M181" i="17" s="1"/>
  <c r="I182" i="17"/>
  <c r="J182" i="17"/>
  <c r="O182" i="17" s="1"/>
  <c r="K182" i="17"/>
  <c r="L182" i="17"/>
  <c r="I183" i="17"/>
  <c r="N183" i="17" s="1"/>
  <c r="J183" i="17"/>
  <c r="O183" i="17" s="1"/>
  <c r="K183" i="17"/>
  <c r="L183" i="17"/>
  <c r="M183" i="17" s="1"/>
  <c r="I184" i="17"/>
  <c r="N184" i="17" s="1"/>
  <c r="J184" i="17"/>
  <c r="O184" i="17" s="1"/>
  <c r="K184" i="17"/>
  <c r="L184" i="17"/>
  <c r="M184" i="17" s="1"/>
  <c r="I185" i="17"/>
  <c r="N185" i="17" s="1"/>
  <c r="J185" i="17"/>
  <c r="O185" i="17" s="1"/>
  <c r="K185" i="17"/>
  <c r="L185" i="17"/>
  <c r="I186" i="17"/>
  <c r="N186" i="17" s="1"/>
  <c r="J186" i="17"/>
  <c r="K186" i="17"/>
  <c r="L186" i="17"/>
  <c r="I187" i="17"/>
  <c r="N187" i="17" s="1"/>
  <c r="J187" i="17"/>
  <c r="O187" i="17" s="1"/>
  <c r="K187" i="17"/>
  <c r="L187" i="17"/>
  <c r="M187" i="17" s="1"/>
  <c r="I188" i="17"/>
  <c r="N188" i="17" s="1"/>
  <c r="J188" i="17"/>
  <c r="K188" i="17"/>
  <c r="L188" i="17"/>
  <c r="M188" i="17" s="1"/>
  <c r="I189" i="17"/>
  <c r="J189" i="17"/>
  <c r="O189" i="17" s="1"/>
  <c r="K189" i="17"/>
  <c r="L189" i="17"/>
  <c r="M189" i="17" s="1"/>
  <c r="I190" i="17"/>
  <c r="J190" i="17"/>
  <c r="O190" i="17" s="1"/>
  <c r="K190" i="17"/>
  <c r="L190" i="17"/>
  <c r="M190" i="17" s="1"/>
  <c r="I191" i="17"/>
  <c r="N191" i="17" s="1"/>
  <c r="J191" i="17"/>
  <c r="K191" i="17"/>
  <c r="L191" i="17"/>
  <c r="I192" i="17"/>
  <c r="N192" i="17" s="1"/>
  <c r="J192" i="17"/>
  <c r="K192" i="17"/>
  <c r="L192" i="17"/>
  <c r="M192" i="17" s="1"/>
  <c r="I193" i="17"/>
  <c r="N193" i="17" s="1"/>
  <c r="J193" i="17"/>
  <c r="O193" i="17" s="1"/>
  <c r="K193" i="17"/>
  <c r="L193" i="17"/>
  <c r="M193" i="17" s="1"/>
  <c r="I194" i="17"/>
  <c r="N194" i="17" s="1"/>
  <c r="J194" i="17"/>
  <c r="O194" i="17" s="1"/>
  <c r="K194" i="17"/>
  <c r="L194" i="17"/>
  <c r="M194" i="17" s="1"/>
  <c r="I195" i="17"/>
  <c r="N195" i="17" s="1"/>
  <c r="J195" i="17"/>
  <c r="K195" i="17"/>
  <c r="L195" i="17"/>
  <c r="M195" i="17" s="1"/>
  <c r="I196" i="17"/>
  <c r="N196" i="17" s="1"/>
  <c r="J196" i="17"/>
  <c r="O196" i="17" s="1"/>
  <c r="K196" i="17"/>
  <c r="L196" i="17"/>
  <c r="M196" i="17" s="1"/>
  <c r="I197" i="17"/>
  <c r="J197" i="17"/>
  <c r="K197" i="17"/>
  <c r="L197" i="17"/>
  <c r="M197" i="17" s="1"/>
  <c r="I198" i="17"/>
  <c r="N198" i="17" s="1"/>
  <c r="J198" i="17"/>
  <c r="O198" i="17" s="1"/>
  <c r="K198" i="17"/>
  <c r="L198" i="17"/>
  <c r="M198" i="17" s="1"/>
  <c r="I199" i="17"/>
  <c r="J199" i="17"/>
  <c r="O199" i="17" s="1"/>
  <c r="K199" i="17"/>
  <c r="L199" i="17"/>
  <c r="M199" i="17" s="1"/>
  <c r="I200" i="17"/>
  <c r="J200" i="17"/>
  <c r="O200" i="17" s="1"/>
  <c r="K200" i="17"/>
  <c r="L200" i="17"/>
  <c r="M200" i="17" s="1"/>
  <c r="I201" i="17"/>
  <c r="J201" i="17"/>
  <c r="O201" i="17" s="1"/>
  <c r="K201" i="17"/>
  <c r="L201" i="17"/>
  <c r="I202" i="17"/>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I207" i="17"/>
  <c r="N207" i="17" s="1"/>
  <c r="J207" i="17"/>
  <c r="O207" i="17" s="1"/>
  <c r="K207" i="17"/>
  <c r="L207" i="17"/>
  <c r="I208" i="17"/>
  <c r="J208" i="17"/>
  <c r="O208" i="17" s="1"/>
  <c r="K208" i="17"/>
  <c r="L208" i="17"/>
  <c r="I209" i="17"/>
  <c r="N209" i="17" s="1"/>
  <c r="J209" i="17"/>
  <c r="O209" i="17" s="1"/>
  <c r="K209" i="17"/>
  <c r="L209" i="17"/>
  <c r="M209" i="17" s="1"/>
  <c r="I210" i="17"/>
  <c r="N210" i="17" s="1"/>
  <c r="J210" i="17"/>
  <c r="O210" i="17" s="1"/>
  <c r="K210" i="17"/>
  <c r="L210" i="17"/>
  <c r="M210" i="17" s="1"/>
  <c r="I211" i="17"/>
  <c r="N211" i="17" s="1"/>
  <c r="J211" i="17"/>
  <c r="O211" i="17" s="1"/>
  <c r="K211" i="17"/>
  <c r="L211" i="17"/>
  <c r="I212" i="17"/>
  <c r="N212" i="17" s="1"/>
  <c r="J212" i="17"/>
  <c r="O212" i="17" s="1"/>
  <c r="K212" i="17"/>
  <c r="L212" i="17"/>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K218" i="17"/>
  <c r="L218" i="17"/>
  <c r="M218" i="17" s="1"/>
  <c r="I219" i="17"/>
  <c r="N219" i="17" s="1"/>
  <c r="J219" i="17"/>
  <c r="K219" i="17"/>
  <c r="L219" i="17"/>
  <c r="M219" i="17" s="1"/>
  <c r="I220" i="17"/>
  <c r="N220" i="17" s="1"/>
  <c r="J220" i="17"/>
  <c r="O220" i="17" s="1"/>
  <c r="K220" i="17"/>
  <c r="L220" i="17"/>
  <c r="M220" i="17" s="1"/>
  <c r="I221" i="17"/>
  <c r="N221" i="17" s="1"/>
  <c r="J221" i="17"/>
  <c r="K221" i="17"/>
  <c r="L221" i="17"/>
  <c r="M221" i="17" s="1"/>
  <c r="I222" i="17"/>
  <c r="J222" i="17"/>
  <c r="O222" i="17" s="1"/>
  <c r="K222" i="17"/>
  <c r="L222" i="17"/>
  <c r="I223" i="17"/>
  <c r="N223" i="17" s="1"/>
  <c r="J223" i="17"/>
  <c r="O223" i="17" s="1"/>
  <c r="K223" i="17"/>
  <c r="L223" i="17"/>
  <c r="M223" i="17" s="1"/>
  <c r="I224" i="17"/>
  <c r="N224" i="17" s="1"/>
  <c r="J224" i="17"/>
  <c r="O224" i="17" s="1"/>
  <c r="K224" i="17"/>
  <c r="L224" i="17"/>
  <c r="I225" i="17"/>
  <c r="N225" i="17" s="1"/>
  <c r="J225" i="17"/>
  <c r="O225" i="17" s="1"/>
  <c r="K225" i="17"/>
  <c r="L225" i="17"/>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K229" i="17"/>
  <c r="L229" i="17"/>
  <c r="M229" i="17" s="1"/>
  <c r="I230" i="17"/>
  <c r="N230" i="17" s="1"/>
  <c r="J230" i="17"/>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I236" i="17"/>
  <c r="N236" i="17" s="1"/>
  <c r="J236" i="17"/>
  <c r="O236" i="17" s="1"/>
  <c r="K236" i="17"/>
  <c r="L236" i="17"/>
  <c r="M236" i="17" s="1"/>
  <c r="I237" i="17"/>
  <c r="N237" i="17" s="1"/>
  <c r="J237" i="17"/>
  <c r="O237" i="17" s="1"/>
  <c r="K237" i="17"/>
  <c r="L237" i="17"/>
  <c r="I238" i="17"/>
  <c r="N238" i="17" s="1"/>
  <c r="J238" i="17"/>
  <c r="O238" i="17" s="1"/>
  <c r="K238" i="17"/>
  <c r="L238" i="17"/>
  <c r="M238" i="17" s="1"/>
  <c r="I239" i="17"/>
  <c r="N239" i="17" s="1"/>
  <c r="J239" i="17"/>
  <c r="O239" i="17" s="1"/>
  <c r="K239" i="17"/>
  <c r="L239" i="17"/>
  <c r="M239" i="17" s="1"/>
  <c r="I240" i="17"/>
  <c r="J240" i="17"/>
  <c r="K240" i="17"/>
  <c r="L240" i="17"/>
  <c r="M240" i="17" s="1"/>
  <c r="I241" i="17"/>
  <c r="J241" i="17"/>
  <c r="K241" i="17"/>
  <c r="L241" i="17"/>
  <c r="M241" i="17" s="1"/>
  <c r="I242" i="17"/>
  <c r="J242" i="17"/>
  <c r="O242" i="17" s="1"/>
  <c r="K242" i="17"/>
  <c r="L242" i="17"/>
  <c r="M242" i="17" s="1"/>
  <c r="I243" i="17"/>
  <c r="J243" i="17"/>
  <c r="O243" i="17" s="1"/>
  <c r="K243" i="17"/>
  <c r="L243" i="17"/>
  <c r="M243" i="17" s="1"/>
  <c r="I244" i="17"/>
  <c r="N244" i="17" s="1"/>
  <c r="J244" i="17"/>
  <c r="O244" i="17" s="1"/>
  <c r="K244" i="17"/>
  <c r="L244" i="17"/>
  <c r="M244" i="17" s="1"/>
  <c r="I245" i="17"/>
  <c r="J245" i="17"/>
  <c r="O245" i="17" s="1"/>
  <c r="K245" i="17"/>
  <c r="L245" i="17"/>
  <c r="I246" i="17"/>
  <c r="J246" i="17"/>
  <c r="O246" i="17" s="1"/>
  <c r="K246" i="17"/>
  <c r="L246" i="17"/>
  <c r="I247" i="17"/>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J252" i="17"/>
  <c r="K252" i="17"/>
  <c r="L252" i="17"/>
  <c r="I253" i="17"/>
  <c r="N253" i="17" s="1"/>
  <c r="J253" i="17"/>
  <c r="O253" i="17" s="1"/>
  <c r="K253" i="17"/>
  <c r="L253" i="17"/>
  <c r="I254" i="17"/>
  <c r="N254" i="17" s="1"/>
  <c r="J254" i="17"/>
  <c r="O254" i="17" s="1"/>
  <c r="K254" i="17"/>
  <c r="L254" i="17"/>
  <c r="M254" i="17" s="1"/>
  <c r="I255" i="17"/>
  <c r="N255" i="17" s="1"/>
  <c r="J255" i="17"/>
  <c r="O255" i="17" s="1"/>
  <c r="K255" i="17"/>
  <c r="L255" i="17"/>
  <c r="I256" i="17"/>
  <c r="N256" i="17" s="1"/>
  <c r="J256" i="17"/>
  <c r="O256" i="17" s="1"/>
  <c r="K256" i="17"/>
  <c r="L256" i="17"/>
  <c r="I257" i="17"/>
  <c r="N257" i="17" s="1"/>
  <c r="J257" i="17"/>
  <c r="O257" i="17" s="1"/>
  <c r="K257" i="17"/>
  <c r="L257" i="17"/>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J273" i="17"/>
  <c r="K273" i="17"/>
  <c r="L273" i="17"/>
  <c r="I274" i="17"/>
  <c r="J274" i="17"/>
  <c r="K274" i="17"/>
  <c r="L274" i="17"/>
  <c r="I275" i="17"/>
  <c r="N275" i="17" s="1"/>
  <c r="J275" i="17"/>
  <c r="O275" i="17" s="1"/>
  <c r="K275" i="17"/>
  <c r="L275" i="17"/>
  <c r="M275" i="17" s="1"/>
  <c r="I276" i="17"/>
  <c r="J276" i="17"/>
  <c r="K276" i="17"/>
  <c r="L276" i="17"/>
  <c r="M276" i="17" s="1"/>
  <c r="I277" i="17"/>
  <c r="N277" i="17" s="1"/>
  <c r="J277" i="17"/>
  <c r="O277" i="17" s="1"/>
  <c r="K277" i="17"/>
  <c r="L277" i="17"/>
  <c r="M277" i="17" s="1"/>
  <c r="I278" i="17"/>
  <c r="J278" i="17"/>
  <c r="K278" i="17"/>
  <c r="L278" i="17"/>
  <c r="I279" i="17"/>
  <c r="N279" i="17" s="1"/>
  <c r="J279" i="17"/>
  <c r="K279" i="17"/>
  <c r="L279" i="17"/>
  <c r="I280" i="17"/>
  <c r="N280" i="17" s="1"/>
  <c r="J280" i="17"/>
  <c r="K280" i="17"/>
  <c r="L280" i="17"/>
  <c r="M280" i="17" s="1"/>
  <c r="I281" i="17"/>
  <c r="N281" i="17" s="1"/>
  <c r="J281" i="17"/>
  <c r="O281" i="17" s="1"/>
  <c r="K281" i="17"/>
  <c r="L281" i="17"/>
  <c r="I282" i="17"/>
  <c r="N282" i="17" s="1"/>
  <c r="J282" i="17"/>
  <c r="O282" i="17" s="1"/>
  <c r="K282" i="17"/>
  <c r="L282" i="17"/>
  <c r="M282" i="17" s="1"/>
  <c r="I283" i="17"/>
  <c r="N283" i="17" s="1"/>
  <c r="J283" i="17"/>
  <c r="O283" i="17" s="1"/>
  <c r="K283" i="17"/>
  <c r="L283" i="17"/>
  <c r="M283" i="17" s="1"/>
  <c r="I284" i="17"/>
  <c r="J284" i="17"/>
  <c r="O284" i="17" s="1"/>
  <c r="K284" i="17"/>
  <c r="L284" i="17"/>
  <c r="M284" i="17" s="1"/>
  <c r="I285" i="17"/>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I290" i="17"/>
  <c r="N290" i="17" s="1"/>
  <c r="J290" i="17"/>
  <c r="O290" i="17" s="1"/>
  <c r="K290" i="17"/>
  <c r="L290" i="17"/>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J295" i="17"/>
  <c r="O295" i="17" s="1"/>
  <c r="K295" i="17"/>
  <c r="L295" i="17"/>
  <c r="I296" i="17"/>
  <c r="J296" i="17"/>
  <c r="O296" i="17" s="1"/>
  <c r="K296" i="17"/>
  <c r="L296" i="17"/>
  <c r="I297" i="17"/>
  <c r="N297" i="17" s="1"/>
  <c r="J297" i="17"/>
  <c r="O297" i="17" s="1"/>
  <c r="K297" i="17"/>
  <c r="L297" i="17"/>
  <c r="M297" i="17" s="1"/>
  <c r="I298" i="17"/>
  <c r="J298" i="17"/>
  <c r="O298" i="17" s="1"/>
  <c r="K298" i="17"/>
  <c r="L298" i="17"/>
  <c r="M298" i="17" s="1"/>
  <c r="I299" i="17"/>
  <c r="J299" i="17"/>
  <c r="O299" i="17" s="1"/>
  <c r="K299" i="17"/>
  <c r="L299" i="17"/>
  <c r="M299" i="17" s="1"/>
  <c r="I300" i="17"/>
  <c r="N300" i="17" s="1"/>
  <c r="J300" i="17"/>
  <c r="K300" i="17"/>
  <c r="L300" i="17"/>
  <c r="M300" i="17" s="1"/>
  <c r="I301" i="17"/>
  <c r="N301" i="17" s="1"/>
  <c r="J301" i="17"/>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I312" i="17"/>
  <c r="N312" i="17" s="1"/>
  <c r="J312" i="17"/>
  <c r="O312" i="17" s="1"/>
  <c r="K312" i="17"/>
  <c r="L312" i="17"/>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I317" i="17"/>
  <c r="N317" i="17" s="1"/>
  <c r="J317" i="17"/>
  <c r="K317" i="17"/>
  <c r="L317" i="17"/>
  <c r="M317" i="17" s="1"/>
  <c r="I318" i="17"/>
  <c r="N318" i="17" s="1"/>
  <c r="J318" i="17"/>
  <c r="K318" i="17"/>
  <c r="L318" i="17"/>
  <c r="M318" i="17" s="1"/>
  <c r="I319" i="17"/>
  <c r="N319" i="17" s="1"/>
  <c r="J319" i="17"/>
  <c r="O319" i="17" s="1"/>
  <c r="K319" i="17"/>
  <c r="L319" i="17"/>
  <c r="M319" i="17" s="1"/>
  <c r="I320" i="17"/>
  <c r="N320" i="17" s="1"/>
  <c r="J320" i="17"/>
  <c r="O320" i="17" s="1"/>
  <c r="K320" i="17"/>
  <c r="L320" i="17"/>
  <c r="M320" i="17" s="1"/>
  <c r="I321" i="17"/>
  <c r="J321" i="17"/>
  <c r="O321" i="17" s="1"/>
  <c r="K321" i="17"/>
  <c r="L321" i="17"/>
  <c r="M321" i="17" s="1"/>
  <c r="I322" i="17"/>
  <c r="J322" i="17"/>
  <c r="O322" i="17" s="1"/>
  <c r="K322" i="17"/>
  <c r="L322" i="17"/>
  <c r="I323" i="17"/>
  <c r="N323" i="17" s="1"/>
  <c r="J323" i="17"/>
  <c r="O323" i="17" s="1"/>
  <c r="K323" i="17"/>
  <c r="L323" i="17"/>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J328" i="17"/>
  <c r="O328" i="17" s="1"/>
  <c r="K328" i="17"/>
  <c r="L328" i="17"/>
  <c r="M328" i="17" s="1"/>
  <c r="I329" i="17"/>
  <c r="J329" i="17"/>
  <c r="K329" i="17"/>
  <c r="L329" i="17"/>
  <c r="M329" i="17" s="1"/>
  <c r="I330" i="17"/>
  <c r="N330" i="17" s="1"/>
  <c r="J330" i="17"/>
  <c r="O330" i="17" s="1"/>
  <c r="K330" i="17"/>
  <c r="L330" i="17"/>
  <c r="M330" i="17" s="1"/>
  <c r="I331" i="17"/>
  <c r="N331" i="17" s="1"/>
  <c r="J331" i="17"/>
  <c r="K331" i="17"/>
  <c r="L331" i="17"/>
  <c r="I332" i="17"/>
  <c r="J332" i="17"/>
  <c r="O332" i="17" s="1"/>
  <c r="K332" i="17"/>
  <c r="L332" i="17"/>
  <c r="M332" i="17" s="1"/>
  <c r="I333" i="17"/>
  <c r="N333" i="17" s="1"/>
  <c r="J333" i="17"/>
  <c r="O333" i="17" s="1"/>
  <c r="K333" i="17"/>
  <c r="L333" i="17"/>
  <c r="M333" i="17" s="1"/>
  <c r="I334" i="17"/>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K338" i="17"/>
  <c r="L338" i="17"/>
  <c r="M338" i="17" s="1"/>
  <c r="I339" i="17"/>
  <c r="N339" i="17" s="1"/>
  <c r="J339" i="17"/>
  <c r="K339" i="17"/>
  <c r="L339" i="17"/>
  <c r="I340" i="17"/>
  <c r="N340" i="17" s="1"/>
  <c r="J340" i="17"/>
  <c r="K340" i="17"/>
  <c r="L340" i="17"/>
  <c r="I341" i="17"/>
  <c r="N341" i="17" s="1"/>
  <c r="J341" i="17"/>
  <c r="O341" i="17" s="1"/>
  <c r="K341" i="17"/>
  <c r="L341" i="17"/>
  <c r="M341" i="17" s="1"/>
  <c r="I342" i="17"/>
  <c r="J342" i="17"/>
  <c r="K342" i="17"/>
  <c r="L342" i="17"/>
  <c r="M342" i="17" s="1"/>
  <c r="I343" i="17"/>
  <c r="N343" i="17" s="1"/>
  <c r="J343" i="17"/>
  <c r="O343" i="17" s="1"/>
  <c r="K343" i="17"/>
  <c r="L343" i="17"/>
  <c r="M343" i="17" s="1"/>
  <c r="I344" i="17"/>
  <c r="N344" i="17" s="1"/>
  <c r="J344" i="17"/>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J353" i="17"/>
  <c r="O353" i="17" s="1"/>
  <c r="K353" i="17"/>
  <c r="L353" i="17"/>
  <c r="M353" i="17" s="1"/>
  <c r="I354" i="17"/>
  <c r="J354" i="17"/>
  <c r="O354" i="17" s="1"/>
  <c r="K354" i="17"/>
  <c r="L354" i="17"/>
  <c r="I355" i="17"/>
  <c r="J355" i="17"/>
  <c r="O355" i="17" s="1"/>
  <c r="K355" i="17"/>
  <c r="L355" i="17"/>
  <c r="M355" i="17" s="1"/>
  <c r="I356" i="17"/>
  <c r="N356" i="17" s="1"/>
  <c r="J356" i="17"/>
  <c r="O356" i="17" s="1"/>
  <c r="K356" i="17"/>
  <c r="L356" i="17"/>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I361" i="17"/>
  <c r="N361" i="17" s="1"/>
  <c r="J361" i="17"/>
  <c r="K361" i="17"/>
  <c r="L361" i="17"/>
  <c r="I362" i="17"/>
  <c r="J362" i="17"/>
  <c r="K362" i="17"/>
  <c r="L362" i="17"/>
  <c r="M362" i="17" s="1"/>
  <c r="I363" i="17"/>
  <c r="N363" i="17" s="1"/>
  <c r="J363" i="17"/>
  <c r="O363" i="17" s="1"/>
  <c r="K363" i="17"/>
  <c r="L363" i="17"/>
  <c r="M363" i="17" s="1"/>
  <c r="I364" i="17"/>
  <c r="J364" i="17"/>
  <c r="O364" i="17" s="1"/>
  <c r="K364" i="17"/>
  <c r="L364" i="17"/>
  <c r="M364" i="17" s="1"/>
  <c r="I365" i="17"/>
  <c r="N365" i="17" s="1"/>
  <c r="J365" i="17"/>
  <c r="O365" i="17" s="1"/>
  <c r="K365" i="17"/>
  <c r="L365" i="17"/>
  <c r="M365" i="17" s="1"/>
  <c r="I366" i="17"/>
  <c r="J366" i="17"/>
  <c r="O366" i="17" s="1"/>
  <c r="K366" i="17"/>
  <c r="L366" i="17"/>
  <c r="M366" i="17" s="1"/>
  <c r="I367" i="17"/>
  <c r="N367" i="17" s="1"/>
  <c r="J367" i="17"/>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K371" i="17"/>
  <c r="L371" i="17"/>
  <c r="M371" i="17" s="1"/>
  <c r="I372" i="17"/>
  <c r="J372" i="17"/>
  <c r="K372" i="17"/>
  <c r="L372" i="17"/>
  <c r="M372" i="17" s="1"/>
  <c r="I373" i="17"/>
  <c r="J373" i="17"/>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I378" i="17"/>
  <c r="N378" i="17" s="1"/>
  <c r="J378" i="17"/>
  <c r="O378" i="17" s="1"/>
  <c r="K378" i="17"/>
  <c r="L378" i="17"/>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I383" i="17"/>
  <c r="N383" i="17" s="1"/>
  <c r="J383" i="17"/>
  <c r="O383" i="17" s="1"/>
  <c r="K383" i="17"/>
  <c r="L383" i="17"/>
  <c r="I384" i="17"/>
  <c r="N384" i="17" s="1"/>
  <c r="J384" i="17"/>
  <c r="O384" i="17" s="1"/>
  <c r="K384" i="17"/>
  <c r="L384" i="17"/>
  <c r="I385" i="17"/>
  <c r="N385" i="17" s="1"/>
  <c r="J385" i="17"/>
  <c r="O385" i="17" s="1"/>
  <c r="K385" i="17"/>
  <c r="L385" i="17"/>
  <c r="M385" i="17" s="1"/>
  <c r="I386" i="17"/>
  <c r="N386" i="17" s="1"/>
  <c r="J386" i="17"/>
  <c r="O386" i="17" s="1"/>
  <c r="K386" i="17"/>
  <c r="L386" i="17"/>
  <c r="M386" i="17" s="1"/>
  <c r="I387" i="17"/>
  <c r="J387" i="17"/>
  <c r="O387" i="17" s="1"/>
  <c r="K387" i="17"/>
  <c r="L387" i="17"/>
  <c r="I388" i="17"/>
  <c r="J388" i="17"/>
  <c r="O388" i="17" s="1"/>
  <c r="K388" i="17"/>
  <c r="L388" i="17"/>
  <c r="M388" i="17" s="1"/>
  <c r="I389" i="17"/>
  <c r="N389" i="17" s="1"/>
  <c r="J389" i="17"/>
  <c r="K389" i="17"/>
  <c r="L389" i="17"/>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I410" i="17"/>
  <c r="N410" i="17" s="1"/>
  <c r="J410" i="17"/>
  <c r="O410" i="17" s="1"/>
  <c r="K410" i="17"/>
  <c r="L410" i="17"/>
  <c r="I411" i="17"/>
  <c r="N411" i="17" s="1"/>
  <c r="J411" i="17"/>
  <c r="O411" i="17" s="1"/>
  <c r="K411" i="17"/>
  <c r="L411" i="17"/>
  <c r="I412" i="17"/>
  <c r="N412" i="17" s="1"/>
  <c r="J412" i="17"/>
  <c r="O412" i="17" s="1"/>
  <c r="K412" i="17"/>
  <c r="L412" i="17"/>
  <c r="M412" i="17" s="1"/>
  <c r="I413" i="17"/>
  <c r="N413" i="17" s="1"/>
  <c r="J413" i="17"/>
  <c r="O413" i="17" s="1"/>
  <c r="K413" i="17"/>
  <c r="L413" i="17"/>
  <c r="I414" i="17"/>
  <c r="N414" i="17" s="1"/>
  <c r="J414" i="17"/>
  <c r="O414" i="17" s="1"/>
  <c r="K414" i="17"/>
  <c r="L414" i="17"/>
  <c r="M414" i="17" s="1"/>
  <c r="I415" i="17"/>
  <c r="N415" i="17" s="1"/>
  <c r="J415" i="17"/>
  <c r="K415" i="17"/>
  <c r="L415" i="17"/>
  <c r="M415" i="17" s="1"/>
  <c r="I416" i="17"/>
  <c r="N416" i="17" s="1"/>
  <c r="J416" i="17"/>
  <c r="K416" i="17"/>
  <c r="L416" i="17"/>
  <c r="M416" i="17" s="1"/>
  <c r="I417" i="17"/>
  <c r="J417" i="17"/>
  <c r="K417" i="17"/>
  <c r="L417" i="17"/>
  <c r="M417" i="17" s="1"/>
  <c r="I418" i="17"/>
  <c r="N418" i="17" s="1"/>
  <c r="J418" i="17"/>
  <c r="O418" i="17" s="1"/>
  <c r="K418" i="17"/>
  <c r="L418" i="17"/>
  <c r="M418" i="17" s="1"/>
  <c r="I419" i="17"/>
  <c r="J419" i="17"/>
  <c r="K419" i="17"/>
  <c r="L419" i="17"/>
  <c r="I420" i="17"/>
  <c r="N420" i="17" s="1"/>
  <c r="J420" i="17"/>
  <c r="O420" i="17" s="1"/>
  <c r="K420" i="17"/>
  <c r="L420" i="17"/>
  <c r="M420" i="17" s="1"/>
  <c r="I421" i="17"/>
  <c r="N421" i="17" s="1"/>
  <c r="J421" i="17"/>
  <c r="O421" i="17" s="1"/>
  <c r="K421" i="17"/>
  <c r="L421" i="17"/>
  <c r="I422" i="17"/>
  <c r="N422" i="17" s="1"/>
  <c r="J422" i="17"/>
  <c r="O422" i="17" s="1"/>
  <c r="K422" i="17"/>
  <c r="L422" i="17"/>
  <c r="I423" i="17"/>
  <c r="N423" i="17" s="1"/>
  <c r="J423" i="17"/>
  <c r="O423" i="17" s="1"/>
  <c r="K423" i="17"/>
  <c r="L423" i="17"/>
  <c r="M423" i="17" s="1"/>
  <c r="I424" i="17"/>
  <c r="N424" i="17" s="1"/>
  <c r="J424" i="17"/>
  <c r="O424" i="17" s="1"/>
  <c r="K424" i="17"/>
  <c r="L424" i="17"/>
  <c r="M424" i="17" s="1"/>
  <c r="I425" i="17"/>
  <c r="J425" i="17"/>
  <c r="O425" i="17" s="1"/>
  <c r="K425" i="17"/>
  <c r="L425" i="17"/>
  <c r="M425" i="17" s="1"/>
  <c r="I426" i="17"/>
  <c r="N426" i="17" s="1"/>
  <c r="J426" i="17"/>
  <c r="K426" i="17"/>
  <c r="L426" i="17"/>
  <c r="M426" i="17" s="1"/>
  <c r="I427" i="17"/>
  <c r="N427" i="17" s="1"/>
  <c r="J427" i="17"/>
  <c r="O427" i="17" s="1"/>
  <c r="K427" i="17"/>
  <c r="L427" i="17"/>
  <c r="M427" i="17" s="1"/>
  <c r="I428" i="17"/>
  <c r="J428" i="17"/>
  <c r="O428" i="17" s="1"/>
  <c r="K428" i="17"/>
  <c r="L428" i="17"/>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K439" i="17"/>
  <c r="L439" i="17"/>
  <c r="M439" i="17" s="1"/>
  <c r="I440" i="17"/>
  <c r="N440" i="17" s="1"/>
  <c r="J440" i="17"/>
  <c r="K440" i="17"/>
  <c r="L440" i="17"/>
  <c r="M440" i="17" s="1"/>
  <c r="I441" i="17"/>
  <c r="J441" i="17"/>
  <c r="O441" i="17" s="1"/>
  <c r="K441" i="17"/>
  <c r="L441" i="17"/>
  <c r="M441" i="17" s="1"/>
  <c r="I442" i="17"/>
  <c r="J442" i="17"/>
  <c r="O442" i="17" s="1"/>
  <c r="K442" i="17"/>
  <c r="L442" i="17"/>
  <c r="I443" i="17"/>
  <c r="J443" i="17"/>
  <c r="O443" i="17" s="1"/>
  <c r="K443" i="17"/>
  <c r="L443" i="17"/>
  <c r="M443" i="17" s="1"/>
  <c r="I444" i="17"/>
  <c r="J444" i="17"/>
  <c r="O444" i="17" s="1"/>
  <c r="K444" i="17"/>
  <c r="L444" i="17"/>
  <c r="I445" i="17"/>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J453" i="17"/>
  <c r="O453" i="17" s="1"/>
  <c r="K453" i="17"/>
  <c r="L453" i="17"/>
  <c r="I454" i="17"/>
  <c r="N454" i="17" s="1"/>
  <c r="J454" i="17"/>
  <c r="O454" i="17" s="1"/>
  <c r="K454" i="17"/>
  <c r="L454" i="17"/>
  <c r="I455" i="17"/>
  <c r="N455" i="17" s="1"/>
  <c r="J455" i="17"/>
  <c r="K455" i="17"/>
  <c r="L455" i="17"/>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K459" i="17"/>
  <c r="L459" i="17"/>
  <c r="M459" i="17" s="1"/>
  <c r="I460" i="17"/>
  <c r="N460" i="17" s="1"/>
  <c r="J460" i="17"/>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J467" i="17"/>
  <c r="O467" i="17" s="1"/>
  <c r="K467" i="17"/>
  <c r="L467" i="17"/>
  <c r="M467" i="17" s="1"/>
  <c r="I468" i="17"/>
  <c r="N468" i="17" s="1"/>
  <c r="J468" i="17"/>
  <c r="O468" i="17" s="1"/>
  <c r="K468" i="17"/>
  <c r="L468" i="17"/>
  <c r="M468" i="17" s="1"/>
  <c r="I469" i="17"/>
  <c r="J469" i="17"/>
  <c r="O469" i="17" s="1"/>
  <c r="K469" i="17"/>
  <c r="L469" i="17"/>
  <c r="M469" i="17" s="1"/>
  <c r="I470" i="17"/>
  <c r="N470" i="17" s="1"/>
  <c r="J470" i="17"/>
  <c r="O470" i="17" s="1"/>
  <c r="K470" i="17"/>
  <c r="L470" i="17"/>
  <c r="I471" i="17"/>
  <c r="N471" i="17" s="1"/>
  <c r="J471" i="17"/>
  <c r="K471" i="17"/>
  <c r="L471" i="17"/>
  <c r="I472" i="17"/>
  <c r="J472" i="17"/>
  <c r="O472" i="17" s="1"/>
  <c r="K472" i="17"/>
  <c r="L472" i="17"/>
  <c r="I473" i="17"/>
  <c r="N473" i="17" s="1"/>
  <c r="J473" i="17"/>
  <c r="O473" i="17" s="1"/>
  <c r="K473" i="17"/>
  <c r="L473" i="17"/>
  <c r="M473" i="17" s="1"/>
  <c r="I474" i="17"/>
  <c r="N474" i="17" s="1"/>
  <c r="J474" i="17"/>
  <c r="O474" i="17" s="1"/>
  <c r="K474" i="17"/>
  <c r="L474" i="17"/>
  <c r="M474" i="17" s="1"/>
  <c r="I475" i="17"/>
  <c r="J475" i="17"/>
  <c r="O475" i="17" s="1"/>
  <c r="K475" i="17"/>
  <c r="L475" i="17"/>
  <c r="M475" i="17" s="1"/>
  <c r="I476" i="17"/>
  <c r="N476" i="17" s="1"/>
  <c r="J476" i="17"/>
  <c r="O476" i="17" s="1"/>
  <c r="K476" i="17"/>
  <c r="L476" i="17"/>
  <c r="M476" i="17" s="1"/>
  <c r="I477" i="17"/>
  <c r="N477" i="17" s="1"/>
  <c r="J477" i="17"/>
  <c r="K477" i="17"/>
  <c r="L477" i="17"/>
  <c r="M477" i="17" s="1"/>
  <c r="I478" i="17"/>
  <c r="N478" i="17" s="1"/>
  <c r="J478" i="17"/>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J483" i="17"/>
  <c r="K483" i="17"/>
  <c r="L483" i="17"/>
  <c r="M483" i="17" s="1"/>
  <c r="I484" i="17"/>
  <c r="N484" i="17" s="1"/>
  <c r="J484" i="17"/>
  <c r="O484" i="17" s="1"/>
  <c r="K484" i="17"/>
  <c r="L484" i="17"/>
  <c r="M484" i="17" s="1"/>
  <c r="I485" i="17"/>
  <c r="N485" i="17" s="1"/>
  <c r="J485" i="17"/>
  <c r="O485" i="17" s="1"/>
  <c r="K485" i="17"/>
  <c r="L485" i="17"/>
  <c r="I486" i="17"/>
  <c r="J486" i="17"/>
  <c r="O486" i="17" s="1"/>
  <c r="K486" i="17"/>
  <c r="L486" i="17"/>
  <c r="I487" i="17"/>
  <c r="J487" i="17"/>
  <c r="O487" i="17" s="1"/>
  <c r="K487" i="17"/>
  <c r="L487" i="17"/>
  <c r="I488" i="17"/>
  <c r="N488" i="17" s="1"/>
  <c r="J488" i="17"/>
  <c r="O488" i="17" s="1"/>
  <c r="K488" i="17"/>
  <c r="L488" i="17"/>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I499" i="17"/>
  <c r="N499" i="17" s="1"/>
  <c r="J499" i="17"/>
  <c r="O499" i="17" s="1"/>
  <c r="K499" i="17"/>
  <c r="L499" i="17"/>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I509" i="17"/>
  <c r="N509" i="17" s="1"/>
  <c r="J509" i="17"/>
  <c r="O509" i="17" s="1"/>
  <c r="K509" i="17"/>
  <c r="L509" i="17"/>
  <c r="I510" i="17"/>
  <c r="J510" i="17"/>
  <c r="O510" i="17" s="1"/>
  <c r="K510" i="17"/>
  <c r="L510" i="17"/>
  <c r="I511" i="17"/>
  <c r="J511" i="17"/>
  <c r="O511" i="17" s="1"/>
  <c r="K511" i="17"/>
  <c r="L511" i="17"/>
  <c r="M511" i="17" s="1"/>
  <c r="I512" i="17"/>
  <c r="N512" i="17" s="1"/>
  <c r="J512" i="17"/>
  <c r="O512" i="17" s="1"/>
  <c r="K512" i="17"/>
  <c r="L512" i="17"/>
  <c r="I513" i="17"/>
  <c r="N513" i="17" s="1"/>
  <c r="J513" i="17"/>
  <c r="O513" i="17" s="1"/>
  <c r="K513" i="17"/>
  <c r="L513" i="17"/>
  <c r="M513" i="17" s="1"/>
  <c r="I514" i="17"/>
  <c r="N514" i="17" s="1"/>
  <c r="J514" i="17"/>
  <c r="K514" i="17"/>
  <c r="L514" i="17"/>
  <c r="I515" i="17"/>
  <c r="N515" i="17" s="1"/>
  <c r="J515" i="17"/>
  <c r="K515" i="17"/>
  <c r="L515" i="17"/>
  <c r="I516" i="17"/>
  <c r="N516" i="17" s="1"/>
  <c r="J516" i="17"/>
  <c r="K516" i="17"/>
  <c r="L516" i="17"/>
  <c r="I517" i="17"/>
  <c r="N517" i="17" s="1"/>
  <c r="J517" i="17"/>
  <c r="O517" i="17" s="1"/>
  <c r="K517" i="17"/>
  <c r="L517" i="17"/>
  <c r="M517" i="17" s="1"/>
  <c r="I518" i="17"/>
  <c r="N518" i="17" s="1"/>
  <c r="J518" i="17"/>
  <c r="O518" i="17" s="1"/>
  <c r="K518" i="17"/>
  <c r="L518" i="17"/>
  <c r="M518" i="17" s="1"/>
  <c r="I519" i="17"/>
  <c r="N519" i="17" s="1"/>
  <c r="J519" i="17"/>
  <c r="O519" i="17" s="1"/>
  <c r="K519" i="17"/>
  <c r="L519" i="17"/>
  <c r="I520" i="17"/>
  <c r="J520" i="17"/>
  <c r="O520" i="17" s="1"/>
  <c r="K520" i="17"/>
  <c r="L520" i="17"/>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J526" i="17"/>
  <c r="K526" i="17"/>
  <c r="L526" i="17"/>
  <c r="M526" i="17" s="1"/>
  <c r="I527" i="17"/>
  <c r="N527" i="17" s="1"/>
  <c r="J527" i="17"/>
  <c r="O527" i="17" s="1"/>
  <c r="K527" i="17"/>
  <c r="L527" i="17"/>
  <c r="M527" i="17" s="1"/>
  <c r="I528" i="17"/>
  <c r="N528" i="17" s="1"/>
  <c r="J528" i="17"/>
  <c r="O528" i="17" s="1"/>
  <c r="K528" i="17"/>
  <c r="L528" i="17"/>
  <c r="M528" i="17" s="1"/>
  <c r="I529" i="17"/>
  <c r="N529" i="17" s="1"/>
  <c r="J529" i="17"/>
  <c r="K529" i="17"/>
  <c r="L529" i="17"/>
  <c r="M529" i="17" s="1"/>
  <c r="I530" i="17"/>
  <c r="J530" i="17"/>
  <c r="O530" i="17" s="1"/>
  <c r="K530" i="17"/>
  <c r="L530" i="17"/>
  <c r="M530" i="17" s="1"/>
  <c r="I531" i="17"/>
  <c r="J531" i="17"/>
  <c r="O531" i="17" s="1"/>
  <c r="K531" i="17"/>
  <c r="L531" i="17"/>
  <c r="M531" i="17" s="1"/>
  <c r="I532" i="17"/>
  <c r="J532" i="17"/>
  <c r="O532" i="17" s="1"/>
  <c r="K532" i="17"/>
  <c r="L532" i="17"/>
  <c r="I533" i="17"/>
  <c r="J533" i="17"/>
  <c r="O533" i="17" s="1"/>
  <c r="K533" i="17"/>
  <c r="L533" i="17"/>
  <c r="M533" i="17" s="1"/>
  <c r="I534" i="17"/>
  <c r="N534" i="17" s="1"/>
  <c r="J534" i="17"/>
  <c r="O534" i="17" s="1"/>
  <c r="K534" i="17"/>
  <c r="L534" i="17"/>
  <c r="I535" i="17"/>
  <c r="N535" i="17" s="1"/>
  <c r="J535" i="17"/>
  <c r="O535" i="17" s="1"/>
  <c r="K535" i="17"/>
  <c r="L535" i="17"/>
  <c r="M535" i="17" s="1"/>
  <c r="I536" i="17"/>
  <c r="N536" i="17" s="1"/>
  <c r="J536" i="17"/>
  <c r="O536" i="17" s="1"/>
  <c r="K536" i="17"/>
  <c r="L536" i="17"/>
  <c r="I537" i="17"/>
  <c r="N537" i="17" s="1"/>
  <c r="J537" i="17"/>
  <c r="K537" i="17"/>
  <c r="L537" i="17"/>
  <c r="I538" i="17"/>
  <c r="J538" i="17"/>
  <c r="K538" i="17"/>
  <c r="L538" i="17"/>
  <c r="I539" i="17"/>
  <c r="N539" i="17" s="1"/>
  <c r="J539" i="17"/>
  <c r="O539" i="17" s="1"/>
  <c r="K539" i="17"/>
  <c r="L539" i="17"/>
  <c r="M539" i="17" s="1"/>
  <c r="I540" i="17"/>
  <c r="N540" i="17" s="1"/>
  <c r="J540" i="17"/>
  <c r="O540" i="17" s="1"/>
  <c r="K540" i="17"/>
  <c r="L540" i="17"/>
  <c r="M540" i="17" s="1"/>
  <c r="I541" i="17"/>
  <c r="N541" i="17" s="1"/>
  <c r="J541" i="17"/>
  <c r="O541" i="17" s="1"/>
  <c r="K541" i="17"/>
  <c r="L541" i="17"/>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I553" i="17"/>
  <c r="N553" i="17" s="1"/>
  <c r="J553" i="17"/>
  <c r="O553" i="17" s="1"/>
  <c r="K553" i="17"/>
  <c r="L553" i="17"/>
  <c r="M553" i="17" s="1"/>
  <c r="I554" i="17"/>
  <c r="J554" i="17"/>
  <c r="O554" i="17" s="1"/>
  <c r="K554" i="17"/>
  <c r="L554" i="17"/>
  <c r="M554" i="17" s="1"/>
  <c r="I555" i="17"/>
  <c r="J555" i="17"/>
  <c r="O555" i="17" s="1"/>
  <c r="K555" i="17"/>
  <c r="L555" i="17"/>
  <c r="M555" i="17" s="1"/>
  <c r="I556" i="17"/>
  <c r="N556" i="17" s="1"/>
  <c r="J556" i="17"/>
  <c r="O556" i="17" s="1"/>
  <c r="K556" i="17"/>
  <c r="L556" i="17"/>
  <c r="M556" i="17" s="1"/>
  <c r="I557" i="17"/>
  <c r="J557" i="17"/>
  <c r="O557" i="17" s="1"/>
  <c r="K557" i="17"/>
  <c r="L557" i="17"/>
  <c r="M557" i="17" s="1"/>
  <c r="I558" i="17"/>
  <c r="N558" i="17" s="1"/>
  <c r="J558" i="17"/>
  <c r="O558" i="17" s="1"/>
  <c r="K558" i="17"/>
  <c r="L558" i="17"/>
  <c r="M558" i="17" s="1"/>
  <c r="I559" i="17"/>
  <c r="N559" i="17" s="1"/>
  <c r="J559" i="17"/>
  <c r="K559" i="17"/>
  <c r="L559" i="17"/>
  <c r="M559" i="17" s="1"/>
  <c r="I560" i="17"/>
  <c r="N560" i="17" s="1"/>
  <c r="J560" i="17"/>
  <c r="K560" i="17"/>
  <c r="L560" i="17"/>
  <c r="M560" i="17" s="1"/>
  <c r="I561" i="17"/>
  <c r="N561" i="17" s="1"/>
  <c r="J561" i="17"/>
  <c r="O561" i="17" s="1"/>
  <c r="K561" i="17"/>
  <c r="L561" i="17"/>
  <c r="M561" i="17" s="1"/>
  <c r="I562" i="17"/>
  <c r="J562" i="17"/>
  <c r="O562" i="17" s="1"/>
  <c r="K562" i="17"/>
  <c r="L562" i="17"/>
  <c r="M562" i="17" s="1"/>
  <c r="I563" i="17"/>
  <c r="J563" i="17"/>
  <c r="O563" i="17" s="1"/>
  <c r="K563" i="17"/>
  <c r="L563" i="17"/>
  <c r="I564" i="17"/>
  <c r="J564" i="17"/>
  <c r="O564" i="17" s="1"/>
  <c r="K564" i="17"/>
  <c r="L564" i="17"/>
  <c r="I565" i="17"/>
  <c r="N565" i="17" s="1"/>
  <c r="J565" i="17"/>
  <c r="K565" i="17"/>
  <c r="L565" i="17"/>
  <c r="I566" i="17"/>
  <c r="N566" i="17" s="1"/>
  <c r="J566" i="17"/>
  <c r="K566" i="17"/>
  <c r="L566" i="17"/>
  <c r="M566" i="17" s="1"/>
  <c r="I567" i="17"/>
  <c r="N567" i="17" s="1"/>
  <c r="J567" i="17"/>
  <c r="O567" i="17" s="1"/>
  <c r="K567" i="17"/>
  <c r="L567" i="17"/>
  <c r="M567" i="17" s="1"/>
  <c r="I568" i="17"/>
  <c r="N568" i="17" s="1"/>
  <c r="J568" i="17"/>
  <c r="O568" i="17" s="1"/>
  <c r="K568" i="17"/>
  <c r="L568" i="17"/>
  <c r="M568" i="17" s="1"/>
  <c r="I569" i="17"/>
  <c r="N569" i="17" s="1"/>
  <c r="J569" i="17"/>
  <c r="K569" i="17"/>
  <c r="L569" i="17"/>
  <c r="M569" i="17" s="1"/>
  <c r="I570" i="17"/>
  <c r="N570" i="17" s="1"/>
  <c r="J570" i="17"/>
  <c r="O570" i="17" s="1"/>
  <c r="K570" i="17"/>
  <c r="L570" i="17"/>
  <c r="M570" i="17" s="1"/>
  <c r="I571" i="17"/>
  <c r="N571" i="17" s="1"/>
  <c r="J571" i="17"/>
  <c r="K571" i="17"/>
  <c r="L571" i="17"/>
  <c r="M571" i="17" s="1"/>
  <c r="I572" i="17"/>
  <c r="N572" i="17" s="1"/>
  <c r="J572" i="17"/>
  <c r="O572" i="17" s="1"/>
  <c r="K572" i="17"/>
  <c r="L572" i="17"/>
  <c r="M572" i="17" s="1"/>
  <c r="I573" i="17"/>
  <c r="N573" i="17" s="1"/>
  <c r="J573" i="17"/>
  <c r="K573" i="17"/>
  <c r="L573" i="17"/>
  <c r="M573" i="17" s="1"/>
  <c r="I574" i="17"/>
  <c r="N574" i="17" s="1"/>
  <c r="J574" i="17"/>
  <c r="O574" i="17" s="1"/>
  <c r="K574" i="17"/>
  <c r="L574" i="17"/>
  <c r="I575" i="17"/>
  <c r="N575" i="17" s="1"/>
  <c r="J575" i="17"/>
  <c r="O575" i="17" s="1"/>
  <c r="K575" i="17"/>
  <c r="L575" i="17"/>
  <c r="M575" i="17" s="1"/>
  <c r="I576" i="17"/>
  <c r="N576" i="17" s="1"/>
  <c r="J576" i="17"/>
  <c r="O576" i="17" s="1"/>
  <c r="K576" i="17"/>
  <c r="L576" i="17"/>
  <c r="I577" i="17"/>
  <c r="N577" i="17" s="1"/>
  <c r="J577" i="17"/>
  <c r="O577" i="17" s="1"/>
  <c r="K577" i="17"/>
  <c r="L577" i="17"/>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I582" i="17"/>
  <c r="J582" i="17"/>
  <c r="O582" i="17" s="1"/>
  <c r="K582" i="17"/>
  <c r="L582" i="17"/>
  <c r="I583" i="17"/>
  <c r="J583" i="17"/>
  <c r="O583" i="17" s="1"/>
  <c r="K583" i="17"/>
  <c r="L583" i="17"/>
  <c r="M583" i="17" s="1"/>
  <c r="I584" i="17"/>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I598" i="17"/>
  <c r="N598" i="17" s="1"/>
  <c r="J598" i="17"/>
  <c r="O598" i="17" s="1"/>
  <c r="K598" i="17"/>
  <c r="L598" i="17"/>
  <c r="I599" i="17"/>
  <c r="N599" i="17" s="1"/>
  <c r="J599" i="17"/>
  <c r="O599" i="17" s="1"/>
  <c r="K599" i="17"/>
  <c r="L599" i="17"/>
  <c r="M599" i="17" s="1"/>
  <c r="I600" i="17"/>
  <c r="N600" i="17" s="1"/>
  <c r="J600" i="17"/>
  <c r="O600" i="17" s="1"/>
  <c r="K600" i="17"/>
  <c r="L600" i="17"/>
  <c r="I601" i="17"/>
  <c r="N601" i="17" s="1"/>
  <c r="J601" i="17"/>
  <c r="O601" i="17" s="1"/>
  <c r="K601" i="17"/>
  <c r="L601" i="17"/>
  <c r="M601" i="17" s="1"/>
  <c r="I602" i="17"/>
  <c r="N602" i="17" s="1"/>
  <c r="J602" i="17"/>
  <c r="O602" i="17" s="1"/>
  <c r="K602" i="17"/>
  <c r="L602" i="17"/>
  <c r="M602" i="17" s="1"/>
  <c r="I603" i="17"/>
  <c r="N603" i="17" s="1"/>
  <c r="J603" i="17"/>
  <c r="K603" i="17"/>
  <c r="L603" i="17"/>
  <c r="M603" i="17" s="1"/>
  <c r="I604" i="17"/>
  <c r="J604" i="17"/>
  <c r="K604" i="17"/>
  <c r="L604" i="17"/>
  <c r="M604" i="17" s="1"/>
  <c r="I605" i="17"/>
  <c r="N605" i="17" s="1"/>
  <c r="J605" i="17"/>
  <c r="K605" i="17"/>
  <c r="L605" i="17"/>
  <c r="M605" i="17" s="1"/>
  <c r="I606" i="17"/>
  <c r="N606" i="17" s="1"/>
  <c r="J606" i="17"/>
  <c r="O606" i="17" s="1"/>
  <c r="K606" i="17"/>
  <c r="L606" i="17"/>
  <c r="M606" i="17" s="1"/>
  <c r="I607" i="17"/>
  <c r="J607" i="17"/>
  <c r="O607" i="17" s="1"/>
  <c r="K607" i="17"/>
  <c r="L607" i="17"/>
  <c r="M607" i="17" s="1"/>
  <c r="I608" i="17"/>
  <c r="N608" i="17" s="1"/>
  <c r="J608" i="17"/>
  <c r="O608" i="17" s="1"/>
  <c r="K608" i="17"/>
  <c r="L608" i="17"/>
  <c r="I609" i="17"/>
  <c r="N609" i="17" s="1"/>
  <c r="J609" i="17"/>
  <c r="O609" i="17" s="1"/>
  <c r="K609" i="17"/>
  <c r="L609" i="17"/>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K614" i="17"/>
  <c r="L614" i="17"/>
  <c r="M614" i="17" s="1"/>
  <c r="I615" i="17"/>
  <c r="J615" i="17"/>
  <c r="K615" i="17"/>
  <c r="L615" i="17"/>
  <c r="M615" i="17" s="1"/>
  <c r="I616" i="17"/>
  <c r="N616" i="17" s="1"/>
  <c r="J616" i="17"/>
  <c r="O616" i="17" s="1"/>
  <c r="K616" i="17"/>
  <c r="L616" i="17"/>
  <c r="M616" i="17" s="1"/>
  <c r="I617" i="17"/>
  <c r="N617" i="17" s="1"/>
  <c r="J617" i="17"/>
  <c r="O617" i="17" s="1"/>
  <c r="K617" i="17"/>
  <c r="L617" i="17"/>
  <c r="M617" i="17" s="1"/>
  <c r="I618" i="17"/>
  <c r="J618" i="17"/>
  <c r="O618" i="17" s="1"/>
  <c r="K618" i="17"/>
  <c r="L618" i="17"/>
  <c r="M618" i="17" s="1"/>
  <c r="I619" i="17"/>
  <c r="N619" i="17" s="1"/>
  <c r="J619" i="17"/>
  <c r="O619" i="17" s="1"/>
  <c r="K619" i="17"/>
  <c r="L619" i="17"/>
  <c r="M619" i="17" s="1"/>
  <c r="I620" i="17"/>
  <c r="J620" i="17"/>
  <c r="O620" i="17" s="1"/>
  <c r="K620" i="17"/>
  <c r="L620" i="17"/>
  <c r="M620" i="17" s="1"/>
  <c r="I621" i="17"/>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I626" i="17"/>
  <c r="N626" i="17" s="1"/>
  <c r="J626" i="17"/>
  <c r="O626" i="17" s="1"/>
  <c r="K626" i="17"/>
  <c r="L626" i="17"/>
  <c r="I627" i="17"/>
  <c r="N627" i="17" s="1"/>
  <c r="J627" i="17"/>
  <c r="O627" i="17" s="1"/>
  <c r="K627" i="17"/>
  <c r="L627" i="17"/>
  <c r="M627" i="17" s="1"/>
  <c r="I628" i="17"/>
  <c r="N628" i="17" s="1"/>
  <c r="J628" i="17"/>
  <c r="K628" i="17"/>
  <c r="L628" i="17"/>
  <c r="M628" i="17" s="1"/>
  <c r="I629" i="17"/>
  <c r="J629" i="17"/>
  <c r="O629" i="17" s="1"/>
  <c r="K629" i="17"/>
  <c r="L629" i="17"/>
  <c r="M629" i="17" s="1"/>
  <c r="I630" i="17"/>
  <c r="J630" i="17"/>
  <c r="O630" i="17" s="1"/>
  <c r="K630" i="17"/>
  <c r="L630" i="17"/>
  <c r="M630" i="17" s="1"/>
  <c r="I631" i="17"/>
  <c r="N631" i="17" s="1"/>
  <c r="J631" i="17"/>
  <c r="O631" i="17" s="1"/>
  <c r="K631" i="17"/>
  <c r="L631" i="17"/>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I642" i="17"/>
  <c r="N642" i="17" s="1"/>
  <c r="J642" i="17"/>
  <c r="O642" i="17" s="1"/>
  <c r="K642" i="17"/>
  <c r="L642" i="17"/>
  <c r="I643" i="17"/>
  <c r="J643" i="17"/>
  <c r="O643" i="17" s="1"/>
  <c r="K643" i="17"/>
  <c r="L643" i="17"/>
  <c r="M643" i="17" s="1"/>
  <c r="I644" i="17"/>
  <c r="N644" i="17" s="1"/>
  <c r="J644" i="17"/>
  <c r="O644" i="17" s="1"/>
  <c r="K644" i="17"/>
  <c r="L644" i="17"/>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K652" i="17"/>
  <c r="L652" i="17"/>
  <c r="I653" i="17"/>
  <c r="N653" i="17" s="1"/>
  <c r="J653" i="17"/>
  <c r="O653" i="17" s="1"/>
  <c r="K653" i="17"/>
  <c r="L653" i="17"/>
  <c r="M653" i="17" s="1"/>
  <c r="I654" i="17"/>
  <c r="N654" i="17" s="1"/>
  <c r="J654" i="17"/>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K658" i="17"/>
  <c r="L658" i="17"/>
  <c r="M658" i="17" s="1"/>
  <c r="I659" i="17"/>
  <c r="J659" i="17"/>
  <c r="O659" i="17" s="1"/>
  <c r="K659" i="17"/>
  <c r="L659" i="17"/>
  <c r="M659" i="17" s="1"/>
  <c r="I660" i="17"/>
  <c r="N660" i="17" s="1"/>
  <c r="J660" i="17"/>
  <c r="O660" i="17" s="1"/>
  <c r="K660" i="17"/>
  <c r="L660" i="17"/>
  <c r="M660" i="17" s="1"/>
  <c r="I661" i="17"/>
  <c r="J661" i="17"/>
  <c r="O661" i="17" s="1"/>
  <c r="K661" i="17"/>
  <c r="L661" i="17"/>
  <c r="M661" i="17" s="1"/>
  <c r="I662" i="17"/>
  <c r="J662" i="17"/>
  <c r="O662" i="17" s="1"/>
  <c r="K662" i="17"/>
  <c r="L662" i="17"/>
  <c r="I663" i="17"/>
  <c r="J663" i="17"/>
  <c r="O663" i="17" s="1"/>
  <c r="K663" i="17"/>
  <c r="L663" i="17"/>
  <c r="I664" i="17"/>
  <c r="N664" i="17" s="1"/>
  <c r="J664" i="17"/>
  <c r="O664" i="17" s="1"/>
  <c r="K664" i="17"/>
  <c r="L664" i="17"/>
  <c r="I665" i="17"/>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I670" i="17"/>
  <c r="N670" i="17" s="1"/>
  <c r="J670" i="17"/>
  <c r="K670" i="17"/>
  <c r="L670" i="17"/>
  <c r="I671" i="17"/>
  <c r="N671" i="17" s="1"/>
  <c r="J671" i="17"/>
  <c r="O671" i="17" s="1"/>
  <c r="K671" i="17"/>
  <c r="L671" i="17"/>
  <c r="M671" i="17" s="1"/>
  <c r="I672" i="17"/>
  <c r="N672" i="17" s="1"/>
  <c r="J672" i="17"/>
  <c r="K672" i="17"/>
  <c r="L672" i="17"/>
  <c r="I673" i="17"/>
  <c r="N673" i="17" s="1"/>
  <c r="J673" i="17"/>
  <c r="O673" i="17" s="1"/>
  <c r="K673" i="17"/>
  <c r="L673" i="17"/>
  <c r="I674" i="17"/>
  <c r="N674" i="17" s="1"/>
  <c r="J674" i="17"/>
  <c r="K674" i="17"/>
  <c r="L674" i="17"/>
  <c r="I675" i="17"/>
  <c r="N675" i="17" s="1"/>
  <c r="J675" i="17"/>
  <c r="K675" i="17"/>
  <c r="L675" i="17"/>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I692" i="17"/>
  <c r="J692" i="17"/>
  <c r="O692" i="17" s="1"/>
  <c r="K692" i="17"/>
  <c r="L692" i="17"/>
  <c r="I693" i="17"/>
  <c r="N693" i="17" s="1"/>
  <c r="J693" i="17"/>
  <c r="O693" i="17" s="1"/>
  <c r="K693" i="17"/>
  <c r="L693" i="17"/>
  <c r="M693" i="17" s="1"/>
  <c r="I694" i="17"/>
  <c r="N694" i="17" s="1"/>
  <c r="J694" i="17"/>
  <c r="O694" i="17" s="1"/>
  <c r="K694" i="17"/>
  <c r="L694" i="17"/>
  <c r="M694" i="17" s="1"/>
  <c r="I695" i="17"/>
  <c r="J695" i="17"/>
  <c r="O695" i="17" s="1"/>
  <c r="K695" i="17"/>
  <c r="L695" i="17"/>
  <c r="I696" i="17"/>
  <c r="J696" i="17"/>
  <c r="O696" i="17" s="1"/>
  <c r="K696" i="17"/>
  <c r="L696" i="17"/>
  <c r="M696" i="17" s="1"/>
  <c r="I697" i="17"/>
  <c r="N697" i="17" s="1"/>
  <c r="J697" i="17"/>
  <c r="K697" i="17"/>
  <c r="L697" i="17"/>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J703" i="17"/>
  <c r="K703" i="17"/>
  <c r="L703" i="17"/>
  <c r="M703" i="17" s="1"/>
  <c r="I704" i="17"/>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K713" i="17"/>
  <c r="L713" i="17"/>
  <c r="M713" i="17" s="1"/>
  <c r="I714" i="17"/>
  <c r="J714" i="17"/>
  <c r="O714" i="17" s="1"/>
  <c r="K714" i="17"/>
  <c r="L714" i="17"/>
  <c r="M714" i="17" s="1"/>
  <c r="I715" i="17"/>
  <c r="N715" i="17" s="1"/>
  <c r="J715" i="17"/>
  <c r="O715" i="17" s="1"/>
  <c r="K715" i="17"/>
  <c r="L715" i="17"/>
  <c r="M715" i="17" s="1"/>
  <c r="I716" i="17"/>
  <c r="N716" i="17" s="1"/>
  <c r="J716" i="17"/>
  <c r="O716" i="17" s="1"/>
  <c r="K716" i="17"/>
  <c r="L716" i="17"/>
  <c r="M716" i="17" s="1"/>
  <c r="I717" i="17"/>
  <c r="J717" i="17"/>
  <c r="O717" i="17" s="1"/>
  <c r="K717" i="17"/>
  <c r="L717" i="17"/>
  <c r="M717" i="17" s="1"/>
  <c r="I718" i="17"/>
  <c r="N718" i="17" s="1"/>
  <c r="J718" i="17"/>
  <c r="K718" i="17"/>
  <c r="L718" i="17"/>
  <c r="I719" i="17"/>
  <c r="N719" i="17" s="1"/>
  <c r="J719" i="17"/>
  <c r="O719" i="17" s="1"/>
  <c r="K719" i="17"/>
  <c r="L719" i="17"/>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K724" i="17"/>
  <c r="L724" i="17"/>
  <c r="M724" i="17" s="1"/>
  <c r="I725" i="17"/>
  <c r="N725" i="17" s="1"/>
  <c r="J725" i="17"/>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I736" i="17"/>
  <c r="N736" i="17" s="1"/>
  <c r="J736" i="17"/>
  <c r="O736" i="17" s="1"/>
  <c r="K736" i="17"/>
  <c r="L736" i="17"/>
  <c r="I737" i="17"/>
  <c r="N737" i="17" s="1"/>
  <c r="J737" i="17"/>
  <c r="O737" i="17" s="1"/>
  <c r="K737" i="17"/>
  <c r="L737" i="17"/>
  <c r="M737" i="17" s="1"/>
  <c r="I738" i="17"/>
  <c r="J738" i="17"/>
  <c r="O738" i="17" s="1"/>
  <c r="K738" i="17"/>
  <c r="L738" i="17"/>
  <c r="M738" i="17" s="1"/>
  <c r="I739" i="17"/>
  <c r="J739" i="17"/>
  <c r="O739" i="17" s="1"/>
  <c r="K739" i="17"/>
  <c r="L739" i="17"/>
  <c r="I740" i="17"/>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K744" i="17"/>
  <c r="L744" i="17"/>
  <c r="M744" i="17" s="1"/>
  <c r="I745" i="17"/>
  <c r="N745" i="17" s="1"/>
  <c r="J745" i="17"/>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J751" i="17"/>
  <c r="O751" i="17" s="1"/>
  <c r="K751" i="17"/>
  <c r="L751" i="17"/>
  <c r="I752" i="17"/>
  <c r="N752" i="17" s="1"/>
  <c r="J752" i="17"/>
  <c r="O752" i="17" s="1"/>
  <c r="K752" i="17"/>
  <c r="L752" i="17"/>
  <c r="I753" i="17"/>
  <c r="J753" i="17"/>
  <c r="O753" i="17" s="1"/>
  <c r="K753" i="17"/>
  <c r="L753" i="17"/>
  <c r="M753" i="17" s="1"/>
  <c r="I754" i="17"/>
  <c r="N754" i="17" s="1"/>
  <c r="J754" i="17"/>
  <c r="O754" i="17" s="1"/>
  <c r="K754" i="17"/>
  <c r="L754" i="17"/>
  <c r="I755" i="17"/>
  <c r="N755" i="17" s="1"/>
  <c r="J755" i="17"/>
  <c r="O755" i="17" s="1"/>
  <c r="K755" i="17"/>
  <c r="L755" i="17"/>
  <c r="M755" i="17" s="1"/>
  <c r="I756" i="17"/>
  <c r="N756" i="17" s="1"/>
  <c r="J756" i="17"/>
  <c r="K756" i="17"/>
  <c r="L756" i="17"/>
  <c r="M756" i="17" s="1"/>
  <c r="I757" i="17"/>
  <c r="N757" i="17" s="1"/>
  <c r="J757" i="17"/>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K763" i="17"/>
  <c r="L763" i="17"/>
  <c r="I764" i="17"/>
  <c r="N764" i="17" s="1"/>
  <c r="J764" i="17"/>
  <c r="O764" i="17" s="1"/>
  <c r="K764" i="17"/>
  <c r="L764" i="17"/>
  <c r="M764" i="17" s="1"/>
  <c r="I765" i="17"/>
  <c r="N765" i="17" s="1"/>
  <c r="J765" i="17"/>
  <c r="O765" i="17" s="1"/>
  <c r="K765" i="17"/>
  <c r="L765" i="17"/>
  <c r="I766" i="17"/>
  <c r="N766" i="17" s="1"/>
  <c r="J766" i="17"/>
  <c r="O766" i="17" s="1"/>
  <c r="K766" i="17"/>
  <c r="L766" i="17"/>
  <c r="I767" i="17"/>
  <c r="N767" i="17" s="1"/>
  <c r="J767" i="17"/>
  <c r="K767" i="17"/>
  <c r="L767" i="17"/>
  <c r="M767" i="17" s="1"/>
  <c r="I768" i="17"/>
  <c r="N768" i="17" s="1"/>
  <c r="J768" i="17"/>
  <c r="K768" i="17"/>
  <c r="L768" i="17"/>
  <c r="M768" i="17" s="1"/>
  <c r="I769" i="17"/>
  <c r="J769" i="17"/>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I780" i="17"/>
  <c r="N780" i="17" s="1"/>
  <c r="J780" i="17"/>
  <c r="O780" i="17" s="1"/>
  <c r="K780" i="17"/>
  <c r="L780" i="17"/>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I785" i="17"/>
  <c r="N785" i="17" s="1"/>
  <c r="J785" i="17"/>
  <c r="O785" i="17" s="1"/>
  <c r="K785" i="17"/>
  <c r="L785" i="17"/>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J794" i="17"/>
  <c r="O794" i="17" s="1"/>
  <c r="K794" i="17"/>
  <c r="L794" i="17"/>
  <c r="M794" i="17" s="1"/>
  <c r="I795" i="17"/>
  <c r="J795" i="17"/>
  <c r="O795" i="17" s="1"/>
  <c r="K795" i="17"/>
  <c r="L795" i="17"/>
  <c r="I796" i="17"/>
  <c r="N796" i="17" s="1"/>
  <c r="J796" i="17"/>
  <c r="O796" i="17" s="1"/>
  <c r="K796" i="17"/>
  <c r="L796" i="17"/>
  <c r="I797" i="17"/>
  <c r="N797" i="17" s="1"/>
  <c r="J797" i="17"/>
  <c r="O797" i="17" s="1"/>
  <c r="K797" i="17"/>
  <c r="L797" i="17"/>
  <c r="M797" i="17" s="1"/>
  <c r="I798" i="17"/>
  <c r="N798" i="17" s="1"/>
  <c r="J798" i="17"/>
  <c r="O798" i="17" s="1"/>
  <c r="K798" i="17"/>
  <c r="L798" i="17"/>
  <c r="I799" i="17"/>
  <c r="J799" i="17"/>
  <c r="O799" i="17" s="1"/>
  <c r="K799" i="17"/>
  <c r="L799" i="17"/>
  <c r="M799" i="17" s="1"/>
  <c r="I800" i="17"/>
  <c r="N800" i="17" s="1"/>
  <c r="J800" i="17"/>
  <c r="K800" i="17"/>
  <c r="L800" i="17"/>
  <c r="M800" i="17" s="1"/>
  <c r="I801" i="17"/>
  <c r="J801" i="17"/>
  <c r="K801" i="17"/>
  <c r="L801" i="17"/>
  <c r="I802" i="17"/>
  <c r="N802" i="17" s="1"/>
  <c r="J802" i="17"/>
  <c r="K802" i="17"/>
  <c r="L802" i="17"/>
  <c r="M802" i="17" s="1"/>
  <c r="I803" i="17"/>
  <c r="J803" i="17"/>
  <c r="O803" i="17" s="1"/>
  <c r="K803" i="17"/>
  <c r="L803" i="17"/>
  <c r="M803" i="17" s="1"/>
  <c r="I804" i="17"/>
  <c r="J804" i="17"/>
  <c r="O804" i="17" s="1"/>
  <c r="K804" i="17"/>
  <c r="L804" i="17"/>
  <c r="M804" i="17" s="1"/>
  <c r="I805" i="17"/>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K811" i="17"/>
  <c r="L811" i="17"/>
  <c r="M811" i="17" s="1"/>
  <c r="I812" i="17"/>
  <c r="N812" i="17" s="1"/>
  <c r="J812" i="17"/>
  <c r="O812" i="17" s="1"/>
  <c r="K812" i="17"/>
  <c r="L812" i="17"/>
  <c r="M812" i="17" s="1"/>
  <c r="I813" i="17"/>
  <c r="N813" i="17" s="1"/>
  <c r="J813" i="17"/>
  <c r="K813" i="17"/>
  <c r="L813" i="17"/>
  <c r="M813" i="17" s="1"/>
  <c r="I814" i="17"/>
  <c r="N814" i="17" s="1"/>
  <c r="J814" i="17"/>
  <c r="K814" i="17"/>
  <c r="L814" i="17"/>
  <c r="M814" i="17" s="1"/>
  <c r="I815" i="17"/>
  <c r="N815" i="17" s="1"/>
  <c r="J815" i="17"/>
  <c r="K815" i="17"/>
  <c r="L815" i="17"/>
  <c r="M815" i="17" s="1"/>
  <c r="I816" i="17"/>
  <c r="N816" i="17" s="1"/>
  <c r="J816" i="17"/>
  <c r="O816" i="17" s="1"/>
  <c r="K816" i="17"/>
  <c r="L816" i="17"/>
  <c r="I817" i="17"/>
  <c r="N817" i="17" s="1"/>
  <c r="J817" i="17"/>
  <c r="O817" i="17" s="1"/>
  <c r="K817" i="17"/>
  <c r="L817" i="17"/>
  <c r="I818" i="17"/>
  <c r="N818" i="17" s="1"/>
  <c r="J818" i="17"/>
  <c r="O818" i="17" s="1"/>
  <c r="K818" i="17"/>
  <c r="L818" i="17"/>
  <c r="I819" i="17"/>
  <c r="N819" i="17" s="1"/>
  <c r="J819" i="17"/>
  <c r="O819" i="17" s="1"/>
  <c r="K819" i="17"/>
  <c r="L819" i="17"/>
  <c r="I820" i="17"/>
  <c r="N820" i="17" s="1"/>
  <c r="J820" i="17"/>
  <c r="O820" i="17" s="1"/>
  <c r="K820" i="17"/>
  <c r="L820" i="17"/>
  <c r="I821" i="17"/>
  <c r="N821" i="17" s="1"/>
  <c r="J821" i="17"/>
  <c r="O821" i="17" s="1"/>
  <c r="K821" i="17"/>
  <c r="L821" i="17"/>
  <c r="M821" i="17" s="1"/>
  <c r="I822" i="17"/>
  <c r="N822" i="17" s="1"/>
  <c r="J822" i="17"/>
  <c r="O822" i="17" s="1"/>
  <c r="K822" i="17"/>
  <c r="L822" i="17"/>
  <c r="M822" i="17" s="1"/>
  <c r="I823" i="17"/>
  <c r="N823" i="17" s="1"/>
  <c r="J823" i="17"/>
  <c r="K823" i="17"/>
  <c r="L823" i="17"/>
  <c r="M823" i="17" s="1"/>
  <c r="I824" i="17"/>
  <c r="J824" i="17"/>
  <c r="K824" i="17"/>
  <c r="L824" i="17"/>
  <c r="M824" i="17" s="1"/>
  <c r="I825" i="17"/>
  <c r="N825" i="17" s="1"/>
  <c r="J825" i="17"/>
  <c r="O825" i="17" s="1"/>
  <c r="K825" i="17"/>
  <c r="L825" i="17"/>
  <c r="M825" i="17" s="1"/>
  <c r="I826" i="17"/>
  <c r="N826" i="17" s="1"/>
  <c r="J826" i="17"/>
  <c r="O826" i="17" s="1"/>
  <c r="K826" i="17"/>
  <c r="L826" i="17"/>
  <c r="M826" i="17" s="1"/>
  <c r="I827" i="17"/>
  <c r="J827" i="17"/>
  <c r="O827" i="17" s="1"/>
  <c r="K827" i="17"/>
  <c r="L827" i="17"/>
  <c r="M827" i="17" s="1"/>
  <c r="I828" i="17"/>
  <c r="N828" i="17" s="1"/>
  <c r="J828" i="17"/>
  <c r="O828" i="17" s="1"/>
  <c r="K828" i="17"/>
  <c r="L828" i="17"/>
  <c r="I829" i="17"/>
  <c r="N829" i="17" s="1"/>
  <c r="J829" i="17"/>
  <c r="O829" i="17" s="1"/>
  <c r="K829" i="17"/>
  <c r="L829" i="17"/>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K845" i="17"/>
  <c r="L845" i="17"/>
  <c r="I846" i="17"/>
  <c r="N846" i="17" s="1"/>
  <c r="J846" i="17"/>
  <c r="K846" i="17"/>
  <c r="L846" i="17"/>
  <c r="I847" i="17"/>
  <c r="J847" i="17"/>
  <c r="O847" i="17" s="1"/>
  <c r="K847" i="17"/>
  <c r="L847" i="17"/>
  <c r="M847" i="17" s="1"/>
  <c r="I848" i="17"/>
  <c r="N848" i="17" s="1"/>
  <c r="J848" i="17"/>
  <c r="O848" i="17" s="1"/>
  <c r="K848" i="17"/>
  <c r="L848" i="17"/>
  <c r="M848" i="17" s="1"/>
  <c r="I849" i="17"/>
  <c r="J849" i="17"/>
  <c r="O849" i="17" s="1"/>
  <c r="K849" i="17"/>
  <c r="L849" i="17"/>
  <c r="M849" i="17" s="1"/>
  <c r="I850" i="17"/>
  <c r="N850" i="17" s="1"/>
  <c r="J850" i="17"/>
  <c r="O850" i="17" s="1"/>
  <c r="K850" i="17"/>
  <c r="L850" i="17"/>
  <c r="I851" i="17"/>
  <c r="N851" i="17" s="1"/>
  <c r="J851" i="17"/>
  <c r="K851" i="17"/>
  <c r="L851" i="17"/>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I863" i="17"/>
  <c r="N863" i="17" s="1"/>
  <c r="J863" i="17"/>
  <c r="O863" i="17" s="1"/>
  <c r="K863" i="17"/>
  <c r="L863" i="17"/>
  <c r="M863" i="17" s="1"/>
  <c r="I864" i="17"/>
  <c r="N864" i="17" s="1"/>
  <c r="J864" i="17"/>
  <c r="O864" i="17" s="1"/>
  <c r="K864" i="17"/>
  <c r="L864" i="17"/>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I873" i="17"/>
  <c r="J873" i="17"/>
  <c r="O873" i="17" s="1"/>
  <c r="K873" i="17"/>
  <c r="L873" i="17"/>
  <c r="I874" i="17"/>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J879" i="17"/>
  <c r="O879" i="17" s="1"/>
  <c r="K879" i="17"/>
  <c r="L879" i="17"/>
  <c r="M879" i="17" s="1"/>
  <c r="I880" i="17"/>
  <c r="N880" i="17" s="1"/>
  <c r="J880" i="17"/>
  <c r="O880" i="17" s="1"/>
  <c r="K880" i="17"/>
  <c r="L880" i="17"/>
  <c r="M880" i="17" s="1"/>
  <c r="I881" i="17"/>
  <c r="N881" i="17" s="1"/>
  <c r="J881" i="17"/>
  <c r="O881" i="17" s="1"/>
  <c r="K881" i="17"/>
  <c r="L881" i="17"/>
  <c r="M881" i="17" s="1"/>
  <c r="I882" i="17"/>
  <c r="J882" i="17"/>
  <c r="O882" i="17" s="1"/>
  <c r="K882" i="17"/>
  <c r="L882" i="17"/>
  <c r="I883" i="17"/>
  <c r="N883" i="17" s="1"/>
  <c r="J883" i="17"/>
  <c r="O883" i="17" s="1"/>
  <c r="K883" i="17"/>
  <c r="L883" i="17"/>
  <c r="I884" i="17"/>
  <c r="J884" i="17"/>
  <c r="O884" i="17" s="1"/>
  <c r="K884" i="17"/>
  <c r="L884" i="17"/>
  <c r="M884" i="17" s="1"/>
  <c r="I885" i="17"/>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K889" i="17"/>
  <c r="L889" i="17"/>
  <c r="I890" i="17"/>
  <c r="N890" i="17" s="1"/>
  <c r="J890" i="17"/>
  <c r="K890" i="17"/>
  <c r="L890" i="17"/>
  <c r="I891" i="17"/>
  <c r="N891" i="17" s="1"/>
  <c r="J891" i="17"/>
  <c r="O891" i="17" s="1"/>
  <c r="K891" i="17"/>
  <c r="L891" i="17"/>
  <c r="M891" i="17" s="1"/>
  <c r="I892" i="17"/>
  <c r="N892" i="17" s="1"/>
  <c r="J892" i="17"/>
  <c r="O892" i="17" s="1"/>
  <c r="K892" i="17"/>
  <c r="L892" i="17"/>
  <c r="M892" i="17" s="1"/>
  <c r="I893" i="17"/>
  <c r="J893" i="17"/>
  <c r="O893" i="17" s="1"/>
  <c r="K893" i="17"/>
  <c r="L893" i="17"/>
  <c r="I894" i="17"/>
  <c r="J894" i="17"/>
  <c r="O894" i="17" s="1"/>
  <c r="K894" i="17"/>
  <c r="L894" i="17"/>
  <c r="I895" i="17"/>
  <c r="J895" i="17"/>
  <c r="O895" i="17" s="1"/>
  <c r="K895" i="17"/>
  <c r="L895" i="17"/>
  <c r="M895" i="17" s="1"/>
  <c r="I896" i="17"/>
  <c r="N896" i="17" s="1"/>
  <c r="J896" i="17"/>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K900" i="17"/>
  <c r="L900" i="17"/>
  <c r="M900" i="17" s="1"/>
  <c r="I901" i="17"/>
  <c r="N901" i="17" s="1"/>
  <c r="J901" i="17"/>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I906" i="17"/>
  <c r="J906" i="17"/>
  <c r="O906" i="17" s="1"/>
  <c r="K906" i="17"/>
  <c r="L906" i="17"/>
  <c r="I907" i="17"/>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I912" i="17"/>
  <c r="N912" i="17" s="1"/>
  <c r="J912" i="17"/>
  <c r="O912" i="17" s="1"/>
  <c r="K912" i="17"/>
  <c r="L912" i="17"/>
  <c r="I913" i="17"/>
  <c r="N913" i="17" s="1"/>
  <c r="J913" i="17"/>
  <c r="O913" i="17" s="1"/>
  <c r="K913" i="17"/>
  <c r="L913" i="17"/>
  <c r="M913" i="17" s="1"/>
  <c r="I914" i="17"/>
  <c r="N914" i="17" s="1"/>
  <c r="J914" i="17"/>
  <c r="O914" i="17" s="1"/>
  <c r="K914" i="17"/>
  <c r="L914" i="17"/>
  <c r="I915" i="17"/>
  <c r="J915" i="17"/>
  <c r="O915" i="17" s="1"/>
  <c r="K915" i="17"/>
  <c r="L915" i="17"/>
  <c r="M915" i="17" s="1"/>
  <c r="I916" i="17"/>
  <c r="J916" i="17"/>
  <c r="O916" i="17" s="1"/>
  <c r="K916" i="17"/>
  <c r="L916" i="17"/>
  <c r="I917" i="17"/>
  <c r="J917" i="17"/>
  <c r="K917" i="17"/>
  <c r="L917" i="17"/>
  <c r="I918" i="17"/>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J922" i="17"/>
  <c r="O922" i="17" s="1"/>
  <c r="K922" i="17"/>
  <c r="L922" i="17"/>
  <c r="M922" i="17" s="1"/>
  <c r="I923" i="17"/>
  <c r="J923" i="17"/>
  <c r="K923" i="17"/>
  <c r="L923" i="17"/>
  <c r="M923" i="17" s="1"/>
  <c r="I924" i="17"/>
  <c r="N924" i="17" s="1"/>
  <c r="J924" i="17"/>
  <c r="O924" i="17" s="1"/>
  <c r="K924" i="17"/>
  <c r="L924" i="17"/>
  <c r="M924" i="17" s="1"/>
  <c r="I925" i="17"/>
  <c r="N925" i="17" s="1"/>
  <c r="J925" i="17"/>
  <c r="O925" i="17" s="1"/>
  <c r="K925" i="17"/>
  <c r="L925" i="17"/>
  <c r="M925" i="17" s="1"/>
  <c r="I926" i="17"/>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I934" i="17"/>
  <c r="N934" i="17" s="1"/>
  <c r="J934" i="17"/>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I938" i="17"/>
  <c r="N938" i="17" s="1"/>
  <c r="J938" i="17"/>
  <c r="O938" i="17" s="1"/>
  <c r="K938" i="17"/>
  <c r="L938" i="17"/>
  <c r="I939" i="17"/>
  <c r="N939" i="17" s="1"/>
  <c r="J939" i="17"/>
  <c r="K939" i="17"/>
  <c r="L939" i="17"/>
  <c r="I940" i="17"/>
  <c r="N940" i="17" s="1"/>
  <c r="J940" i="17"/>
  <c r="K940" i="17"/>
  <c r="L940" i="17"/>
  <c r="M940" i="17" s="1"/>
  <c r="I941" i="17"/>
  <c r="N941" i="17" s="1"/>
  <c r="J941" i="17"/>
  <c r="O941" i="17" s="1"/>
  <c r="K941" i="17"/>
  <c r="L941" i="17"/>
  <c r="M941" i="17" s="1"/>
  <c r="I942" i="17"/>
  <c r="N942" i="17" s="1"/>
  <c r="J942" i="17"/>
  <c r="O942" i="17" s="1"/>
  <c r="K942" i="17"/>
  <c r="L942" i="17"/>
  <c r="M942" i="17" s="1"/>
  <c r="I943" i="17"/>
  <c r="N943" i="17" s="1"/>
  <c r="J943" i="17"/>
  <c r="K943" i="17"/>
  <c r="L943" i="17"/>
  <c r="M943" i="17" s="1"/>
  <c r="I944" i="17"/>
  <c r="N944" i="17" s="1"/>
  <c r="J944" i="17"/>
  <c r="K944" i="17"/>
  <c r="L944" i="17"/>
  <c r="M944" i="17" s="1"/>
  <c r="I945" i="17"/>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I949" i="17"/>
  <c r="J949" i="17"/>
  <c r="O949" i="17" s="1"/>
  <c r="K949" i="17"/>
  <c r="L949" i="17"/>
  <c r="I950" i="17"/>
  <c r="J950" i="17"/>
  <c r="O950" i="17" s="1"/>
  <c r="K950" i="17"/>
  <c r="L950" i="17"/>
  <c r="I951" i="17"/>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K961" i="17"/>
  <c r="L961" i="17"/>
  <c r="I962" i="17"/>
  <c r="N962" i="17" s="1"/>
  <c r="J962" i="17"/>
  <c r="K962" i="17"/>
  <c r="L962" i="17"/>
  <c r="M962" i="17" s="1"/>
  <c r="I963" i="17"/>
  <c r="N963" i="17" s="1"/>
  <c r="J963" i="17"/>
  <c r="K963" i="17"/>
  <c r="L963" i="17"/>
  <c r="M963" i="17" s="1"/>
  <c r="I964" i="17"/>
  <c r="N964" i="17" s="1"/>
  <c r="J964" i="17"/>
  <c r="K964" i="17"/>
  <c r="L964" i="17"/>
  <c r="M964" i="17" s="1"/>
  <c r="I965" i="17"/>
  <c r="N965" i="17" s="1"/>
  <c r="J965" i="17"/>
  <c r="O965" i="17" s="1"/>
  <c r="K965" i="17"/>
  <c r="L965" i="17"/>
  <c r="M965" i="17" s="1"/>
  <c r="I966" i="17"/>
  <c r="N966" i="17" s="1"/>
  <c r="J966" i="17"/>
  <c r="K966" i="17"/>
  <c r="L966" i="17"/>
  <c r="M966" i="17" s="1"/>
  <c r="I967" i="17"/>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I971" i="17"/>
  <c r="N971" i="17" s="1"/>
  <c r="J971" i="17"/>
  <c r="O971" i="17" s="1"/>
  <c r="K971" i="17"/>
  <c r="L971" i="17"/>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I978" i="17"/>
  <c r="N978" i="17" s="1"/>
  <c r="J978" i="17"/>
  <c r="O978" i="17" s="1"/>
  <c r="K978" i="17"/>
  <c r="L978" i="17"/>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J983" i="17"/>
  <c r="K983" i="17"/>
  <c r="L983" i="17"/>
  <c r="M983" i="17" s="1"/>
  <c r="I984" i="17"/>
  <c r="J984" i="17"/>
  <c r="O984" i="17" s="1"/>
  <c r="K984" i="17"/>
  <c r="L984" i="17"/>
  <c r="M984" i="17" s="1"/>
  <c r="I985" i="17"/>
  <c r="N985" i="17" s="1"/>
  <c r="J985" i="17"/>
  <c r="O985" i="17" s="1"/>
  <c r="K985" i="17"/>
  <c r="L985" i="17"/>
  <c r="M985" i="17" s="1"/>
  <c r="I986" i="17"/>
  <c r="J986" i="17"/>
  <c r="O986" i="17" s="1"/>
  <c r="K986" i="17"/>
  <c r="L986" i="17"/>
  <c r="M986" i="17" s="1"/>
  <c r="I987" i="17"/>
  <c r="N987" i="17" s="1"/>
  <c r="J987" i="17"/>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I992" i="17"/>
  <c r="J992" i="17"/>
  <c r="O992" i="17" s="1"/>
  <c r="K992" i="17"/>
  <c r="L992" i="17"/>
  <c r="I993" i="17"/>
  <c r="N993" i="17" s="1"/>
  <c r="J993" i="17"/>
  <c r="O993" i="17" s="1"/>
  <c r="K993" i="17"/>
  <c r="L993" i="17"/>
  <c r="I994" i="17"/>
  <c r="J994" i="17"/>
  <c r="O994" i="17" s="1"/>
  <c r="K994" i="17"/>
  <c r="L994" i="17"/>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K998" i="17"/>
  <c r="L998" i="17"/>
  <c r="I999" i="17"/>
  <c r="N999" i="17" s="1"/>
  <c r="J999" i="17"/>
  <c r="K999" i="17"/>
  <c r="L999" i="17"/>
  <c r="M999" i="17" s="1"/>
  <c r="I1000" i="17"/>
  <c r="N1000" i="17" s="1"/>
  <c r="J1000" i="17"/>
  <c r="K1000" i="17"/>
  <c r="L1000" i="17"/>
  <c r="I1001" i="17"/>
  <c r="N1001" i="17" s="1"/>
  <c r="J1001" i="17"/>
  <c r="O1001" i="17" s="1"/>
  <c r="K1001" i="17"/>
  <c r="L1001" i="17"/>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<sst xmlns="http://schemas.openxmlformats.org/spreadsheetml/2006/main" count="11128" uniqueCount="6217">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</sst>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quot;$&quot;#,##0.00"/>
    <numFmt numFmtId="168" formatCode="&quot;$&quot;#,##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168" fontId="0" fillId="0" borderId="0" xfId="0" applyNumberFormat="1"/>
  </cellXfs>
  <cellStyles count="1">
    <cellStyle name="Normal" xfId="0" builtinId="0"/>
  </cellStyles>
  <dxfs count="16">
    <dxf>
      <numFmt numFmtId="0" formatCode="General"/>
    </dxf>
    <dxf>
      <numFmt numFmtId="167" formatCode="&quot;$&quot;#,##0.00"/>
    </dxf>
    <dxf>
      <numFmt numFmtId="167" formatCode="&quot;$&quot;#,##0.00"/>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dxf>
    <dxf>
      <fill>
        <patternFill patternType="solid">
          <fgColor theme="0"/>
          <bgColor rgb="FF80461B"/>
        </patternFill>
      </fill>
      <border>
        <left style="thin">
          <color theme="1" tint="-0.499984740745262"/>
        </left>
        <right style="thin">
          <color theme="1" tint="-0.499984740745262"/>
        </right>
        <top style="thin">
          <color theme="1" tint="-0.499984740745262"/>
        </top>
        <bottom style="thin">
          <color theme="1" tint="-0.499984740745262"/>
        </bottom>
      </border>
    </dxf>
    <dxf>
      <font>
        <b/>
        <i val="0"/>
        <u val="none"/>
        <color theme="0"/>
      </font>
    </dxf>
    <dxf>
      <fill>
        <patternFill>
          <bgColor rgb="FF80461B"/>
        </patternFill>
      </fill>
      <border diagonalUp="0" diagonalDown="0">
        <left style="thin">
          <color auto="1"/>
        </left>
        <right style="thin">
          <color auto="1"/>
        </right>
        <top style="thin">
          <color auto="1"/>
        </top>
        <bottom style="thin">
          <color auto="1"/>
        </bottom>
        <vertical/>
        <horizontal/>
      </border>
    </dxf>
  </dxfs>
  <tableStyles count="2" defaultTableStyle="TableStyleMedium2" defaultPivotStyle="PivotStyleMedium9">
    <tableStyle name="Slicer Style 1" pivot="0" table="0" count="4" xr9:uid="{1DBE273B-B7BE-4362-B0ED-63B3F3700163}">
      <tableStyleElement type="wholeTable" dxfId="15"/>
      <tableStyleElement type="headerRow" dxfId="14"/>
    </tableStyle>
    <tableStyle name="Timeline Style 1" pivot="0" table="0" count="8" xr9:uid="{74AF6CDC-E3DC-4C8C-952A-50B6F89E37FB}">
      <tableStyleElement type="wholeTable" dxfId="13"/>
      <tableStyleElement type="headerRow" dxfId="12"/>
    </tableStyle>
  </tableStyles>
  <colors>
    <mruColors>
      <color rgb="FFEADDCA"/>
      <color rgb="FFC19A6B"/>
      <color rgb="FF6E260E"/>
      <color rgb="FFDE4A1C"/>
      <color rgb="FFA03514"/>
      <color rgb="FF80461B"/>
      <color rgb="FF967969"/>
      <color rgb="FFD2B48C"/>
      <color rgb="FF954535"/>
      <color rgb="FFCFB595"/>
    </mruColors>
  </colors>
  <extLst>
    <ext xmlns:x14="http://schemas.microsoft.com/office/spreadsheetml/2009/9/main" uri="{46F421CA-312F-682f-3DD2-61675219B42D}">
      <x14:dxfs count="2">
        <dxf>
          <font>
            <color theme="0"/>
          </font>
          <fill>
            <patternFill>
              <bgColor rgb="FFC19A6B"/>
            </patternFill>
          </fill>
        </dxf>
        <dxf>
          <fill>
            <patternFill>
              <bgColor rgb="FFEADDCA"/>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A0A4C193-F2C1-4fcb-8827-314CF55A85BB}">
      <x15:dxfs count="6">
        <dxf>
          <fill>
            <patternFill patternType="solid">
              <fgColor theme="0" tint="-0.14996795556505021"/>
              <bgColor rgb="FFEADDCA"/>
            </patternFill>
          </fill>
        </dxf>
        <dxf>
          <fill>
            <patternFill patternType="solid">
              <fgColor theme="0"/>
              <bgColor rgb="FFC19A6B"/>
            </patternFill>
          </fill>
        </dxf>
        <dxf>
          <font>
            <sz val="9"/>
            <color theme="0"/>
            <name val="Calibri"/>
            <family val="2"/>
            <scheme val="minor"/>
          </font>
        </dxf>
        <dxf>
          <font>
            <sz val="9"/>
            <color theme="0"/>
            <name val="Calibri"/>
            <family val="2"/>
            <scheme val="minor"/>
          </font>
        </dxf>
        <dxf>
          <font>
            <sz val="9"/>
            <color theme="0"/>
            <name val="Calibri"/>
            <family val="2"/>
            <scheme val="minor"/>
          </font>
        </dxf>
        <dxf>
          <font>
            <sz val="10"/>
            <color theme="0"/>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[coffeeOrdersDashboardProject.xlsx]TotalSales!TotalSales</c:name>
    <c:fmtId val="7"/>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Total</a:t>
            </a:r>
            <a:r>
              <a:rPr lang="en-US" baseline="0"/>
              <a:t> Sales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c:v>
                </c:pt>
              </c:strCache>
            </c:strRef>
          </c:tx>
          <c:spPr>
            <a:ln w="28575" cap="rnd">
              <a:solidFill>
                <a:schemeClr val="accent1"/>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A5E9-49F5-8373-59BC09D96A05}"/>
            </c:ext>
          </c:extLst>
        </c:ser>
        <c:ser>
          <c:idx val="1"/>
          <c:order val="1"/>
          <c:tx>
            <c:strRef>
              <c:f>TotalSales!$D$3:$D$4</c:f>
              <c:strCache>
                <c:ptCount val="1"/>
                <c:pt idx="0">
                  <c:v>Exc</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A5E9-49F5-8373-59BC09D96A05}"/>
            </c:ext>
          </c:extLst>
        </c:ser>
        <c:ser>
          <c:idx val="2"/>
          <c:order val="2"/>
          <c:tx>
            <c:strRef>
              <c:f>TotalSales!$E$3:$E$4</c:f>
              <c:strCache>
                <c:ptCount val="1"/>
                <c:pt idx="0">
                  <c:v>Lib</c:v>
                </c:pt>
              </c:strCache>
            </c:strRef>
          </c:tx>
          <c:spPr>
            <a:ln w="28575" cap="rnd">
              <a:solidFill>
                <a:srgbClr val="00B05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A5E9-49F5-8373-59BC09D96A05}"/>
            </c:ext>
          </c:extLst>
        </c:ser>
        <c:ser>
          <c:idx val="3"/>
          <c:order val="3"/>
          <c:tx>
            <c:strRef>
              <c:f>TotalSales!$F$3:$F$4</c:f>
              <c:strCache>
                <c:ptCount val="1"/>
                <c:pt idx="0">
                  <c:v>Rob</c:v>
                </c:pt>
              </c:strCache>
            </c:strRef>
          </c:tx>
          <c:spPr>
            <a:ln w="28575" cap="rnd">
              <a:solidFill>
                <a:schemeClr val="accent4"/>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A5E9-49F5-8373-59BC09D96A05}"/>
            </c:ext>
          </c:extLst>
        </c:ser>
        <c:dLbls>
          <c:showLegendKey val="0"/>
          <c:showVal val="0"/>
          <c:showCatName val="0"/>
          <c:showSerName val="0"/>
          <c:showPercent val="0"/>
          <c:showBubbleSize val="0"/>
        </c:dLbls>
        <c:smooth val="0"/>
        <c:axId val="1533767871"/>
        <c:axId val="1846171087"/>
      </c:lineChart>
      <c:catAx>
        <c:axId val="1533767871"/>
        <c:scaling>
          <c:orientation val="minMax"/>
        </c:scaling>
        <c:delete val="0"/>
        <c:axPos val="b"/>
        <c:numFmt formatCode="General" sourceLinked="1"/>
        <c:majorTickMark val="none"/>
        <c:minorTickMark val="none"/>
        <c:tickLblPos val="nextTo"/>
        <c:spPr>
          <a:noFill/>
          <a:ln w="9525" cap="flat" cmpd="sng" algn="ctr">
            <a:solidFill>
              <a:srgbClr val="EADDCA"/>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46171087"/>
        <c:crosses val="autoZero"/>
        <c:auto val="1"/>
        <c:lblAlgn val="ctr"/>
        <c:lblOffset val="100"/>
        <c:noMultiLvlLbl val="0"/>
      </c:catAx>
      <c:valAx>
        <c:axId val="1846171087"/>
        <c:scaling>
          <c:orientation val="minMax"/>
        </c:scaling>
        <c:delete val="0"/>
        <c:axPos val="l"/>
        <c:majorGridlines>
          <c:spPr>
            <a:ln w="9525" cap="flat" cmpd="sng" algn="ctr">
              <a:solidFill>
                <a:srgbClr val="EADDCA"/>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USD ($)</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533767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19A6B"/>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[coffeeOrdersDashboardProject.xlsx]Country!Country</c:name>
    <c:fmtId val="9"/>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b="1"/>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rgbClr val="6E260E"/>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03514"/>
          </a:solidFill>
          <a:ln>
            <a:noFill/>
          </a:ln>
          <a:effectLst/>
        </c:spPr>
      </c:pivotFmt>
      <c:pivotFmt>
        <c:idx val="2"/>
        <c:spPr>
          <a:solidFill>
            <a:srgbClr val="DE4A1C"/>
          </a:solidFill>
          <a:ln>
            <a:noFill/>
          </a:ln>
          <a:effectLst/>
        </c:spPr>
      </c:pivotFmt>
      <c:pivotFmt>
        <c:idx val="3"/>
        <c:spPr>
          <a:solidFill>
            <a:srgbClr val="6E260E"/>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E4A1C"/>
          </a:solidFill>
          <a:ln>
            <a:noFill/>
          </a:ln>
          <a:effectLst/>
        </c:spPr>
      </c:pivotFmt>
      <c:pivotFmt>
        <c:idx val="5"/>
        <c:spPr>
          <a:solidFill>
            <a:srgbClr val="A03514"/>
          </a:solidFill>
          <a:ln>
            <a:noFill/>
          </a:ln>
          <a:effectLst/>
        </c:spPr>
      </c:pivotFmt>
      <c:pivotFmt>
        <c:idx val="6"/>
        <c:spPr>
          <a:solidFill>
            <a:srgbClr val="6E260E"/>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E4A1C"/>
          </a:solidFill>
          <a:ln>
            <a:noFill/>
          </a:ln>
          <a:effectLst/>
        </c:spPr>
      </c:pivotFmt>
      <c:pivotFmt>
        <c:idx val="8"/>
        <c:spPr>
          <a:solidFill>
            <a:srgbClr val="A03514"/>
          </a:solidFill>
          <a:ln>
            <a:noFill/>
          </a:ln>
          <a:effectLst/>
        </c:spPr>
      </c:pivotFmt>
    </c:pivotFmts>
    <c:plotArea>
      <c:layout/>
      <c:barChart>
        <c:barDir val="bar"/>
        <c:grouping val="clustered"/>
        <c:varyColors val="0"/>
        <c:ser>
          <c:idx val="0"/>
          <c:order val="0"/>
          <c:tx>
            <c:strRef>
              <c:f>Country!$B$3</c:f>
              <c:strCache>
                <c:ptCount val="1"/>
                <c:pt idx="0">
                  <c:v>Total</c:v>
                </c:pt>
              </c:strCache>
            </c:strRef>
          </c:tx>
          <c:spPr>
            <a:solidFill>
              <a:srgbClr val="6E260E"/>
            </a:solidFill>
            <a:ln>
              <a:noFill/>
            </a:ln>
            <a:effectLst/>
          </c:spPr>
          <c:invertIfNegative val="0"/>
          <c:dPt>
            <c:idx val="0"/>
            <c:invertIfNegative val="0"/>
            <c:bubble3D val="0"/>
            <c:spPr>
              <a:solidFill>
                <a:srgbClr val="DE4A1C"/>
              </a:solidFill>
              <a:ln>
                <a:noFill/>
              </a:ln>
              <a:effectLst/>
            </c:spPr>
            <c:extLst>
              <c:ext xmlns:c16="http://schemas.microsoft.com/office/drawing/2014/chart" uri="{C3380CC4-5D6E-409C-BE32-E72D297353CC}">
                <c16:uniqueId val="{00000001-37D6-47B8-B76F-17B77E0E0B80}"/>
              </c:ext>
            </c:extLst>
          </c:dPt>
          <c:dPt>
            <c:idx val="1"/>
            <c:invertIfNegative val="0"/>
            <c:bubble3D val="0"/>
            <c:spPr>
              <a:solidFill>
                <a:srgbClr val="A03514"/>
              </a:solidFill>
              <a:ln>
                <a:noFill/>
              </a:ln>
              <a:effectLst/>
            </c:spPr>
            <c:extLst>
              <c:ext xmlns:c16="http://schemas.microsoft.com/office/drawing/2014/chart" uri="{C3380CC4-5D6E-409C-BE32-E72D297353CC}">
                <c16:uniqueId val="{00000003-37D6-47B8-B76F-17B77E0E0B80}"/>
              </c:ext>
            </c:extLst>
          </c:dPt>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Country!$A$4:$A$6</c:f>
              <c:strCache>
                <c:ptCount val="3"/>
                <c:pt idx="0">
                  <c:v>United Kingdom</c:v>
                </c:pt>
                <c:pt idx="1">
                  <c:v>Ireland</c:v>
                </c:pt>
                <c:pt idx="2">
                  <c:v>United States</c:v>
                </c:pt>
              </c:strCache>
            </c:strRef>
          </c:cat>
          <c:val>
            <c:numRef>
              <c:f>Country!$B$4:$B$6</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4-37D6-47B8-B76F-17B77E0E0B80}"/>
            </c:ext>
          </c:extLst>
        </c:ser>
        <c:dLbls>
          <c:dLblPos val="outEnd"/>
          <c:showLegendKey val="0"/>
          <c:showVal val="1"/>
          <c:showCatName val="0"/>
          <c:showSerName val="0"/>
          <c:showPercent val="0"/>
          <c:showBubbleSize val="0"/>
        </c:dLbls>
        <c:gapWidth val="182"/>
        <c:axId val="532073088"/>
        <c:axId val="499399824"/>
      </c:barChart>
      <c:catAx>
        <c:axId val="532073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99399824"/>
        <c:crosses val="autoZero"/>
        <c:auto val="1"/>
        <c:lblAlgn val="ctr"/>
        <c:lblOffset val="100"/>
        <c:noMultiLvlLbl val="0"/>
      </c:catAx>
      <c:valAx>
        <c:axId val="499399824"/>
        <c:scaling>
          <c:orientation val="minMax"/>
        </c:scaling>
        <c:delete val="0"/>
        <c:axPos val="b"/>
        <c:majorGridlines>
          <c:spPr>
            <a:ln w="9525" cap="flat" cmpd="sng" algn="ctr">
              <a:solidFill>
                <a:srgbClr val="EADDCA"/>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32073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19A6B"/>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[coffeeOrdersDashboardProject.xlsx]Top5Customers!Top5Customers</c:name>
    <c:fmtId val="10"/>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b="1"/>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rgbClr val="6E260E"/>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03514"/>
          </a:solidFill>
          <a:ln>
            <a:noFill/>
          </a:ln>
          <a:effectLst/>
        </c:spPr>
      </c:pivotFmt>
      <c:pivotFmt>
        <c:idx val="2"/>
        <c:spPr>
          <a:solidFill>
            <a:srgbClr val="DE4A1C"/>
          </a:solidFill>
          <a:ln>
            <a:noFill/>
          </a:ln>
          <a:effectLst/>
        </c:spPr>
      </c:pivotFmt>
      <c:pivotFmt>
        <c:idx val="3"/>
        <c:spPr>
          <a:solidFill>
            <a:srgbClr val="6E260E"/>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E4A1C"/>
          </a:solidFill>
          <a:ln>
            <a:noFill/>
          </a:ln>
          <a:effectLst/>
        </c:spPr>
      </c:pivotFmt>
      <c:pivotFmt>
        <c:idx val="5"/>
        <c:spPr>
          <a:solidFill>
            <a:srgbClr val="A03514"/>
          </a:solidFill>
          <a:ln>
            <a:noFill/>
          </a:ln>
          <a:effectLst/>
        </c:spPr>
      </c:pivotFmt>
      <c:pivotFmt>
        <c:idx val="6"/>
        <c:spPr>
          <a:solidFill>
            <a:srgbClr val="6E260E"/>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6E260E"/>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6E260E"/>
            </a:solidFill>
            <a:ln>
              <a:noFill/>
            </a:ln>
            <a:effectLst/>
          </c:spPr>
          <c:invertIfNegative val="0"/>
          <c:dPt>
            <c:idx val="0"/>
            <c:invertIfNegative val="0"/>
            <c:bubble3D val="0"/>
            <c:extLst>
              <c:ext xmlns:c16="http://schemas.microsoft.com/office/drawing/2014/chart" uri="{C3380CC4-5D6E-409C-BE32-E72D297353CC}">
                <c16:uniqueId val="{00000000-1208-4FF8-A91E-90961E7EAD67}"/>
              </c:ext>
            </c:extLst>
          </c:dPt>
          <c:dPt>
            <c:idx val="1"/>
            <c:invertIfNegative val="0"/>
            <c:bubble3D val="0"/>
            <c:extLst>
              <c:ext xmlns:c16="http://schemas.microsoft.com/office/drawing/2014/chart" uri="{C3380CC4-5D6E-409C-BE32-E72D297353CC}">
                <c16:uniqueId val="{00000001-1208-4FF8-A91E-90961E7EAD67}"/>
              </c:ext>
            </c:extLst>
          </c:dPt>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2-1208-4FF8-A91E-90961E7EAD67}"/>
            </c:ext>
          </c:extLst>
        </c:ser>
        <c:dLbls>
          <c:dLblPos val="outEnd"/>
          <c:showLegendKey val="0"/>
          <c:showVal val="1"/>
          <c:showCatName val="0"/>
          <c:showSerName val="0"/>
          <c:showPercent val="0"/>
          <c:showBubbleSize val="0"/>
        </c:dLbls>
        <c:gapWidth val="182"/>
        <c:axId val="532073088"/>
        <c:axId val="499399824"/>
      </c:barChart>
      <c:catAx>
        <c:axId val="532073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99399824"/>
        <c:crosses val="autoZero"/>
        <c:auto val="1"/>
        <c:lblAlgn val="ctr"/>
        <c:lblOffset val="100"/>
        <c:noMultiLvlLbl val="0"/>
      </c:catAx>
      <c:valAx>
        <c:axId val="499399824"/>
        <c:scaling>
          <c:orientation val="minMax"/>
        </c:scaling>
        <c:delete val="0"/>
        <c:axPos val="b"/>
        <c:majorGridlines>
          <c:spPr>
            <a:ln w="9525" cap="flat" cmpd="sng" algn="ctr">
              <a:solidFill>
                <a:srgbClr val="EADDCA"/>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32073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19A6B"/>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[coffeeOrdersDashboardProject.xlsx]TotalSales!TotalSales</c:name>
    <c:fmtId val="0"/>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Total</a:t>
            </a:r>
            <a:r>
              <a:rPr lang="en-US" baseline="0"/>
              <a:t> Sales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c:v>
                </c:pt>
              </c:strCache>
            </c:strRef>
          </c:tx>
          <c:spPr>
            <a:ln w="28575" cap="rnd">
              <a:solidFill>
                <a:schemeClr val="accent1"/>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7AF2-4B07-A8B3-A9AB3146D0EB}"/>
            </c:ext>
          </c:extLst>
        </c:ser>
        <c:ser>
          <c:idx val="1"/>
          <c:order val="1"/>
          <c:tx>
            <c:strRef>
              <c:f>TotalSales!$D$3:$D$4</c:f>
              <c:strCache>
                <c:ptCount val="1"/>
                <c:pt idx="0">
                  <c:v>Exc</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7AF2-4B07-A8B3-A9AB3146D0EB}"/>
            </c:ext>
          </c:extLst>
        </c:ser>
        <c:ser>
          <c:idx val="2"/>
          <c:order val="2"/>
          <c:tx>
            <c:strRef>
              <c:f>TotalSales!$E$3:$E$4</c:f>
              <c:strCache>
                <c:ptCount val="1"/>
                <c:pt idx="0">
                  <c:v>Lib</c:v>
                </c:pt>
              </c:strCache>
            </c:strRef>
          </c:tx>
          <c:spPr>
            <a:ln w="28575" cap="rnd">
              <a:solidFill>
                <a:srgbClr val="00B05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7AF2-4B07-A8B3-A9AB3146D0EB}"/>
            </c:ext>
          </c:extLst>
        </c:ser>
        <c:ser>
          <c:idx val="3"/>
          <c:order val="3"/>
          <c:tx>
            <c:strRef>
              <c:f>TotalSales!$F$3:$F$4</c:f>
              <c:strCache>
                <c:ptCount val="1"/>
                <c:pt idx="0">
                  <c:v>Rob</c:v>
                </c:pt>
              </c:strCache>
            </c:strRef>
          </c:tx>
          <c:spPr>
            <a:ln w="28575" cap="rnd">
              <a:solidFill>
                <a:schemeClr val="accent4"/>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7AF2-4B07-A8B3-A9AB3146D0EB}"/>
            </c:ext>
          </c:extLst>
        </c:ser>
        <c:dLbls>
          <c:showLegendKey val="0"/>
          <c:showVal val="0"/>
          <c:showCatName val="0"/>
          <c:showSerName val="0"/>
          <c:showPercent val="0"/>
          <c:showBubbleSize val="0"/>
        </c:dLbls>
        <c:smooth val="0"/>
        <c:axId val="1533767871"/>
        <c:axId val="1846171087"/>
      </c:lineChart>
      <c:catAx>
        <c:axId val="1533767871"/>
        <c:scaling>
          <c:orientation val="minMax"/>
        </c:scaling>
        <c:delete val="0"/>
        <c:axPos val="b"/>
        <c:numFmt formatCode="General" sourceLinked="1"/>
        <c:majorTickMark val="none"/>
        <c:minorTickMark val="none"/>
        <c:tickLblPos val="nextTo"/>
        <c:spPr>
          <a:noFill/>
          <a:ln w="9525" cap="flat" cmpd="sng" algn="ctr">
            <a:solidFill>
              <a:srgbClr val="EADDCA"/>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46171087"/>
        <c:crosses val="autoZero"/>
        <c:auto val="1"/>
        <c:lblAlgn val="ctr"/>
        <c:lblOffset val="100"/>
        <c:noMultiLvlLbl val="0"/>
      </c:catAx>
      <c:valAx>
        <c:axId val="1846171087"/>
        <c:scaling>
          <c:orientation val="minMax"/>
        </c:scaling>
        <c:delete val="0"/>
        <c:axPos val="l"/>
        <c:majorGridlines>
          <c:spPr>
            <a:ln w="9525" cap="flat" cmpd="sng" algn="ctr">
              <a:solidFill>
                <a:srgbClr val="EADDCA"/>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USD ($)</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533767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19A6B"/>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[coffeeOrdersDashboardProject.xlsx]Country!Country</c:name>
    <c:fmtId val="6"/>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b="1"/>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rgbClr val="6E260E"/>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03514"/>
          </a:solidFill>
          <a:ln>
            <a:noFill/>
          </a:ln>
          <a:effectLst/>
        </c:spPr>
      </c:pivotFmt>
      <c:pivotFmt>
        <c:idx val="2"/>
        <c:spPr>
          <a:solidFill>
            <a:srgbClr val="DE4A1C"/>
          </a:solidFill>
          <a:ln>
            <a:noFill/>
          </a:ln>
          <a:effectLst/>
        </c:spPr>
      </c:pivotFmt>
    </c:pivotFmts>
    <c:plotArea>
      <c:layout/>
      <c:barChart>
        <c:barDir val="bar"/>
        <c:grouping val="clustered"/>
        <c:varyColors val="0"/>
        <c:ser>
          <c:idx val="0"/>
          <c:order val="0"/>
          <c:tx>
            <c:strRef>
              <c:f>Country!$B$3</c:f>
              <c:strCache>
                <c:ptCount val="1"/>
                <c:pt idx="0">
                  <c:v>Total</c:v>
                </c:pt>
              </c:strCache>
            </c:strRef>
          </c:tx>
          <c:spPr>
            <a:solidFill>
              <a:srgbClr val="6E260E"/>
            </a:solidFill>
            <a:ln>
              <a:noFill/>
            </a:ln>
            <a:effectLst/>
          </c:spPr>
          <c:invertIfNegative val="0"/>
          <c:dPt>
            <c:idx val="0"/>
            <c:invertIfNegative val="0"/>
            <c:bubble3D val="0"/>
            <c:spPr>
              <a:solidFill>
                <a:srgbClr val="DE4A1C"/>
              </a:solidFill>
              <a:ln>
                <a:noFill/>
              </a:ln>
              <a:effectLst/>
            </c:spPr>
            <c:extLst>
              <c:ext xmlns:c16="http://schemas.microsoft.com/office/drawing/2014/chart" uri="{C3380CC4-5D6E-409C-BE32-E72D297353CC}">
                <c16:uniqueId val="{00000003-6F2B-4048-8998-C97209266B17}"/>
              </c:ext>
            </c:extLst>
          </c:dPt>
          <c:dPt>
            <c:idx val="1"/>
            <c:invertIfNegative val="0"/>
            <c:bubble3D val="0"/>
            <c:spPr>
              <a:solidFill>
                <a:srgbClr val="A03514"/>
              </a:solidFill>
              <a:ln>
                <a:noFill/>
              </a:ln>
              <a:effectLst/>
            </c:spPr>
            <c:extLst>
              <c:ext xmlns:c16="http://schemas.microsoft.com/office/drawing/2014/chart" uri="{C3380CC4-5D6E-409C-BE32-E72D297353CC}">
                <c16:uniqueId val="{00000002-6F2B-4048-8998-C97209266B17}"/>
              </c:ext>
            </c:extLst>
          </c:dPt>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Country!$A$4:$A$6</c:f>
              <c:strCache>
                <c:ptCount val="3"/>
                <c:pt idx="0">
                  <c:v>United Kingdom</c:v>
                </c:pt>
                <c:pt idx="1">
                  <c:v>Ireland</c:v>
                </c:pt>
                <c:pt idx="2">
                  <c:v>United States</c:v>
                </c:pt>
              </c:strCache>
            </c:strRef>
          </c:cat>
          <c:val>
            <c:numRef>
              <c:f>Country!$B$4:$B$6</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6F2B-4048-8998-C97209266B17}"/>
            </c:ext>
          </c:extLst>
        </c:ser>
        <c:dLbls>
          <c:dLblPos val="outEnd"/>
          <c:showLegendKey val="0"/>
          <c:showVal val="1"/>
          <c:showCatName val="0"/>
          <c:showSerName val="0"/>
          <c:showPercent val="0"/>
          <c:showBubbleSize val="0"/>
        </c:dLbls>
        <c:gapWidth val="182"/>
        <c:axId val="532073088"/>
        <c:axId val="499399824"/>
      </c:barChart>
      <c:catAx>
        <c:axId val="532073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99399824"/>
        <c:crosses val="autoZero"/>
        <c:auto val="1"/>
        <c:lblAlgn val="ctr"/>
        <c:lblOffset val="100"/>
        <c:noMultiLvlLbl val="0"/>
      </c:catAx>
      <c:valAx>
        <c:axId val="499399824"/>
        <c:scaling>
          <c:orientation val="minMax"/>
        </c:scaling>
        <c:delete val="0"/>
        <c:axPos val="b"/>
        <c:majorGridlines>
          <c:spPr>
            <a:ln w="9525" cap="flat" cmpd="sng" algn="ctr">
              <a:solidFill>
                <a:srgbClr val="EADDCA"/>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32073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19A6B"/>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[coffeeOrdersDashboardProject.xlsx]Top5Customers!Top5Customers</c:name>
    <c:fmtId val="7"/>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b="1"/>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rgbClr val="6E260E"/>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03514"/>
          </a:solidFill>
          <a:ln>
            <a:noFill/>
          </a:ln>
          <a:effectLst/>
        </c:spPr>
      </c:pivotFmt>
      <c:pivotFmt>
        <c:idx val="2"/>
        <c:spPr>
          <a:solidFill>
            <a:srgbClr val="DE4A1C"/>
          </a:solidFill>
          <a:ln>
            <a:noFill/>
          </a:ln>
          <a:effectLst/>
        </c:spPr>
      </c:pivotFmt>
      <c:pivotFmt>
        <c:idx val="3"/>
        <c:spPr>
          <a:solidFill>
            <a:srgbClr val="6E260E"/>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E4A1C"/>
          </a:solidFill>
          <a:ln>
            <a:noFill/>
          </a:ln>
          <a:effectLst/>
        </c:spPr>
      </c:pivotFmt>
      <c:pivotFmt>
        <c:idx val="5"/>
        <c:spPr>
          <a:solidFill>
            <a:srgbClr val="A03514"/>
          </a:solidFill>
          <a:ln>
            <a:noFill/>
          </a:ln>
          <a:effectLst/>
        </c:spPr>
      </c:pivotFmt>
    </c:pivotFmts>
    <c:plotArea>
      <c:layout/>
      <c:barChart>
        <c:barDir val="bar"/>
        <c:grouping val="clustered"/>
        <c:varyColors val="0"/>
        <c:ser>
          <c:idx val="0"/>
          <c:order val="0"/>
          <c:tx>
            <c:strRef>
              <c:f>Top5Customers!$B$3</c:f>
              <c:strCache>
                <c:ptCount val="1"/>
                <c:pt idx="0">
                  <c:v>Total</c:v>
                </c:pt>
              </c:strCache>
            </c:strRef>
          </c:tx>
          <c:spPr>
            <a:solidFill>
              <a:srgbClr val="6E260E"/>
            </a:solidFill>
            <a:ln>
              <a:noFill/>
            </a:ln>
            <a:effectLst/>
          </c:spPr>
          <c:invertIfNegative val="0"/>
          <c:dPt>
            <c:idx val="0"/>
            <c:invertIfNegative val="0"/>
            <c:bubble3D val="0"/>
            <c:extLst>
              <c:ext xmlns:c16="http://schemas.microsoft.com/office/drawing/2014/chart" uri="{C3380CC4-5D6E-409C-BE32-E72D297353CC}">
                <c16:uniqueId val="{00000001-DE04-4E6A-85C9-11AE05FB15A2}"/>
              </c:ext>
            </c:extLst>
          </c:dPt>
          <c:dPt>
            <c:idx val="1"/>
            <c:invertIfNegative val="0"/>
            <c:bubble3D val="0"/>
            <c:extLst>
              <c:ext xmlns:c16="http://schemas.microsoft.com/office/drawing/2014/chart" uri="{C3380CC4-5D6E-409C-BE32-E72D297353CC}">
                <c16:uniqueId val="{00000003-DE04-4E6A-85C9-11AE05FB15A2}"/>
              </c:ext>
            </c:extLst>
          </c:dPt>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4-DE04-4E6A-85C9-11AE05FB15A2}"/>
            </c:ext>
          </c:extLst>
        </c:ser>
        <c:dLbls>
          <c:dLblPos val="outEnd"/>
          <c:showLegendKey val="0"/>
          <c:showVal val="1"/>
          <c:showCatName val="0"/>
          <c:showSerName val="0"/>
          <c:showPercent val="0"/>
          <c:showBubbleSize val="0"/>
        </c:dLbls>
        <c:gapWidth val="182"/>
        <c:axId val="532073088"/>
        <c:axId val="499399824"/>
      </c:barChart>
      <c:catAx>
        <c:axId val="532073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99399824"/>
        <c:crosses val="autoZero"/>
        <c:auto val="1"/>
        <c:lblAlgn val="ctr"/>
        <c:lblOffset val="100"/>
        <c:noMultiLvlLbl val="0"/>
      </c:catAx>
      <c:valAx>
        <c:axId val="499399824"/>
        <c:scaling>
          <c:orientation val="minMax"/>
        </c:scaling>
        <c:delete val="0"/>
        <c:axPos val="b"/>
        <c:majorGridlines>
          <c:spPr>
            <a:ln w="9525" cap="flat" cmpd="sng" algn="ctr">
              <a:solidFill>
                <a:srgbClr val="EADDCA"/>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32073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19A6B"/>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23</xdr:col>
      <xdr:colOff>0</xdr:colOff>
      <xdr:row>5</xdr:row>
      <xdr:rowOff>0</xdr:rowOff>
    </xdr:to>
    <xdr:sp macro="" textlink="">
      <xdr:nvSpPr>
        <xdr:cNvPr id="4" name="Rectangle 3">
          <a:extLst>
            <a:ext uri="{FF2B5EF4-FFF2-40B4-BE49-F238E27FC236}">
              <a16:creationId xmlns:a16="http://schemas.microsoft.com/office/drawing/2014/main" id="{3441E180-4FEC-B5A7-117F-D41AA01418B1}"/>
            </a:ext>
          </a:extLst>
        </xdr:cNvPr>
        <xdr:cNvSpPr/>
      </xdr:nvSpPr>
      <xdr:spPr>
        <a:xfrm>
          <a:off x="114300" y="61913"/>
          <a:ext cx="12534900" cy="723900"/>
        </a:xfrm>
        <a:prstGeom prst="rect">
          <a:avLst/>
        </a:prstGeom>
        <a:solidFill>
          <a:srgbClr val="6E260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a:t>COFFEE SALES DASHBOARD</a:t>
          </a:r>
        </a:p>
      </xdr:txBody>
    </xdr:sp>
    <xdr:clientData/>
  </xdr:twoCellAnchor>
  <xdr:twoCellAnchor>
    <xdr:from>
      <xdr:col>1</xdr:col>
      <xdr:colOff>0</xdr:colOff>
      <xdr:row>18</xdr:row>
      <xdr:rowOff>852</xdr:rowOff>
    </xdr:from>
    <xdr:to>
      <xdr:col>11</xdr:col>
      <xdr:colOff>0</xdr:colOff>
      <xdr:row>36</xdr:row>
      <xdr:rowOff>183172</xdr:rowOff>
    </xdr:to>
    <xdr:graphicFrame macro="">
      <xdr:nvGraphicFramePr>
        <xdr:cNvPr id="5" name="Chart 4">
          <a:extLst>
            <a:ext uri="{FF2B5EF4-FFF2-40B4-BE49-F238E27FC236}">
              <a16:creationId xmlns:a16="http://schemas.microsoft.com/office/drawing/2014/main" id="{1A2B6BA0-9309-46BF-8BD9-EEFCBED1CA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2379</xdr:rowOff>
    </xdr:from>
    <xdr:to>
      <xdr:col>13</xdr:col>
      <xdr:colOff>0</xdr:colOff>
      <xdr:row>17</xdr:row>
      <xdr:rowOff>0</xdr:rowOff>
    </xdr:to>
    <mc:AlternateContent xmlns:mc="http://schemas.openxmlformats.org/markup-compatibility/2006" xmlns:tsle="http://schemas.microsoft.com/office/drawing/2012/timeslicer">
      <mc:Choice Requires="tsle">
        <xdr:graphicFrame macro="">
          <xdr:nvGraphicFramePr>
            <xdr:cNvPr id="6" name="Order Date 1">
              <a:extLst>
                <a:ext uri="{FF2B5EF4-FFF2-40B4-BE49-F238E27FC236}">
                  <a16:creationId xmlns:a16="http://schemas.microsoft.com/office/drawing/2014/main" id="{40D65A31-ED1F-4962-AAB9-4237D9C9208C}"/>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13393" y="852825"/>
              <a:ext cx="7223125" cy="187427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14</xdr:col>
      <xdr:colOff>0</xdr:colOff>
      <xdr:row>6</xdr:row>
      <xdr:rowOff>0</xdr:rowOff>
    </xdr:from>
    <xdr:to>
      <xdr:col>23</xdr:col>
      <xdr:colOff>0</xdr:colOff>
      <xdr:row>10</xdr:row>
      <xdr:rowOff>0</xdr:rowOff>
    </xdr:to>
    <mc:AlternateContent xmlns:mc="http://schemas.openxmlformats.org/markup-compatibility/2006" xmlns:a14="http://schemas.microsoft.com/office/drawing/2010/main">
      <mc:Choice Requires="a14">
        <xdr:graphicFrame macro="">
          <xdr:nvGraphicFramePr>
            <xdr:cNvPr id="7" name="Roast Type Name 1">
              <a:extLst>
                <a:ext uri="{FF2B5EF4-FFF2-40B4-BE49-F238E27FC236}">
                  <a16:creationId xmlns:a16="http://schemas.microsoft.com/office/drawing/2014/main" id="{CE23C5A0-35B1-4EF3-9315-69DFFA608471}"/>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7449911" y="850446"/>
              <a:ext cx="5284107" cy="7257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109537</xdr:colOff>
      <xdr:row>11</xdr:row>
      <xdr:rowOff>0</xdr:rowOff>
    </xdr:from>
    <xdr:to>
      <xdr:col>17</xdr:col>
      <xdr:colOff>642937</xdr:colOff>
      <xdr:row>17</xdr:row>
      <xdr:rowOff>1257</xdr:rowOff>
    </xdr:to>
    <mc:AlternateContent xmlns:mc="http://schemas.openxmlformats.org/markup-compatibility/2006" xmlns:a14="http://schemas.microsoft.com/office/drawing/2010/main">
      <mc:Choice Requires="a14">
        <xdr:graphicFrame macro="">
          <xdr:nvGraphicFramePr>
            <xdr:cNvPr id="8" name="Size 1">
              <a:extLst>
                <a:ext uri="{FF2B5EF4-FFF2-40B4-BE49-F238E27FC236}">
                  <a16:creationId xmlns:a16="http://schemas.microsoft.com/office/drawing/2014/main" id="{EF10C5AC-6890-489E-8218-986300C23009}"/>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7446055" y="1638527"/>
              <a:ext cx="2585811" cy="10898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11</xdr:row>
      <xdr:rowOff>0</xdr:rowOff>
    </xdr:from>
    <xdr:to>
      <xdr:col>23</xdr:col>
      <xdr:colOff>0</xdr:colOff>
      <xdr:row>17</xdr:row>
      <xdr:rowOff>1257</xdr:rowOff>
    </xdr:to>
    <mc:AlternateContent xmlns:mc="http://schemas.openxmlformats.org/markup-compatibility/2006" xmlns:a14="http://schemas.microsoft.com/office/drawing/2010/main">
      <mc:Choice Requires="a14">
        <xdr:graphicFrame macro="">
          <xdr:nvGraphicFramePr>
            <xdr:cNvPr id="9" name="Loyalty Card 1">
              <a:extLst>
                <a:ext uri="{FF2B5EF4-FFF2-40B4-BE49-F238E27FC236}">
                  <a16:creationId xmlns:a16="http://schemas.microsoft.com/office/drawing/2014/main" id="{C5C7DCFF-B694-4BF6-A729-3118CA881746}"/>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0148661" y="1638527"/>
              <a:ext cx="2585357" cy="10898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0</xdr:colOff>
      <xdr:row>18</xdr:row>
      <xdr:rowOff>0</xdr:rowOff>
    </xdr:from>
    <xdr:to>
      <xdr:col>23</xdr:col>
      <xdr:colOff>0</xdr:colOff>
      <xdr:row>26</xdr:row>
      <xdr:rowOff>0</xdr:rowOff>
    </xdr:to>
    <xdr:graphicFrame macro="">
      <xdr:nvGraphicFramePr>
        <xdr:cNvPr id="12" name="Chart 11">
          <a:extLst>
            <a:ext uri="{FF2B5EF4-FFF2-40B4-BE49-F238E27FC236}">
              <a16:creationId xmlns:a16="http://schemas.microsoft.com/office/drawing/2014/main" id="{94A8A6B4-EC71-42ED-99C9-BE123E6F2E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0</xdr:colOff>
      <xdr:row>27</xdr:row>
      <xdr:rowOff>0</xdr:rowOff>
    </xdr:from>
    <xdr:to>
      <xdr:col>23</xdr:col>
      <xdr:colOff>0</xdr:colOff>
      <xdr:row>37</xdr:row>
      <xdr:rowOff>0</xdr:rowOff>
    </xdr:to>
    <xdr:graphicFrame macro="">
      <xdr:nvGraphicFramePr>
        <xdr:cNvPr id="13" name="Chart 12">
          <a:extLst>
            <a:ext uri="{FF2B5EF4-FFF2-40B4-BE49-F238E27FC236}">
              <a16:creationId xmlns:a16="http://schemas.microsoft.com/office/drawing/2014/main" id="{E5B8F70E-D865-495C-BB76-2460BC7412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292893</xdr:colOff>
      <xdr:row>10</xdr:row>
      <xdr:rowOff>76200</xdr:rowOff>
    </xdr:from>
    <xdr:to>
      <xdr:col>13</xdr:col>
      <xdr:colOff>330993</xdr:colOff>
      <xdr:row>25</xdr:row>
      <xdr:rowOff>104775</xdr:rowOff>
    </xdr:to>
    <xdr:graphicFrame macro="">
      <xdr:nvGraphicFramePr>
        <xdr:cNvPr id="2" name="Chart 1">
          <a:extLst>
            <a:ext uri="{FF2B5EF4-FFF2-40B4-BE49-F238E27FC236}">
              <a16:creationId xmlns:a16="http://schemas.microsoft.com/office/drawing/2014/main" id="{1EBD25FD-E942-BB98-66C5-F5C3AEF74F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271463</xdr:colOff>
      <xdr:row>1</xdr:row>
      <xdr:rowOff>147637</xdr:rowOff>
    </xdr:from>
    <xdr:to>
      <xdr:col>11</xdr:col>
      <xdr:colOff>366713</xdr:colOff>
      <xdr:row>9</xdr:row>
      <xdr:rowOff>71437</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93EBF4B2-ABB3-5DF3-EA5F-545799014032}"/>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4281488" y="328612"/>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11</xdr:col>
      <xdr:colOff>519113</xdr:colOff>
      <xdr:row>1</xdr:row>
      <xdr:rowOff>100014</xdr:rowOff>
    </xdr:from>
    <xdr:to>
      <xdr:col>16</xdr:col>
      <xdr:colOff>152401</xdr:colOff>
      <xdr:row>5</xdr:row>
      <xdr:rowOff>147638</xdr:rowOff>
    </xdr:to>
    <mc:AlternateContent xmlns:mc="http://schemas.openxmlformats.org/markup-compatibility/2006" xmlns:a14="http://schemas.microsoft.com/office/drawing/2010/main">
      <mc:Choice Requires="a14">
        <xdr:graphicFrame macro="">
          <xdr:nvGraphicFramePr>
            <xdr:cNvPr id="4" name="Roast Type Name">
              <a:extLst>
                <a:ext uri="{FF2B5EF4-FFF2-40B4-BE49-F238E27FC236}">
                  <a16:creationId xmlns:a16="http://schemas.microsoft.com/office/drawing/2014/main" id="{4F8DA00C-F9E5-4EF1-C693-55ADE4524381}"/>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7767638" y="280989"/>
              <a:ext cx="2871788" cy="14144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604838</xdr:colOff>
      <xdr:row>10</xdr:row>
      <xdr:rowOff>109537</xdr:rowOff>
    </xdr:from>
    <xdr:to>
      <xdr:col>16</xdr:col>
      <xdr:colOff>490538</xdr:colOff>
      <xdr:row>19</xdr:row>
      <xdr:rowOff>90487</xdr:rowOff>
    </xdr:to>
    <mc:AlternateContent xmlns:mc="http://schemas.openxmlformats.org/markup-compatibility/2006" xmlns:a14="http://schemas.microsoft.com/office/drawing/2010/main">
      <mc:Choice Requires="a14">
        <xdr:graphicFrame macro="">
          <xdr:nvGraphicFramePr>
            <xdr:cNvPr id="5" name="Size">
              <a:extLst>
                <a:ext uri="{FF2B5EF4-FFF2-40B4-BE49-F238E27FC236}">
                  <a16:creationId xmlns:a16="http://schemas.microsoft.com/office/drawing/2014/main" id="{CEF2FD46-C7C5-7719-F2FA-892CF5E943A7}"/>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9148763" y="1919287"/>
              <a:ext cx="1828800" cy="1609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585788</xdr:colOff>
      <xdr:row>20</xdr:row>
      <xdr:rowOff>161925</xdr:rowOff>
    </xdr:from>
    <xdr:to>
      <xdr:col>16</xdr:col>
      <xdr:colOff>471488</xdr:colOff>
      <xdr:row>34</xdr:row>
      <xdr:rowOff>152400</xdr:rowOff>
    </xdr:to>
    <mc:AlternateContent xmlns:mc="http://schemas.openxmlformats.org/markup-compatibility/2006" xmlns:a14="http://schemas.microsoft.com/office/drawing/2010/main">
      <mc:Choice Requires="a14">
        <xdr:graphicFrame macro="">
          <xdr:nvGraphicFramePr>
            <xdr:cNvPr id="6" name="Loyalty Card">
              <a:extLst>
                <a:ext uri="{FF2B5EF4-FFF2-40B4-BE49-F238E27FC236}">
                  <a16:creationId xmlns:a16="http://schemas.microsoft.com/office/drawing/2014/main" id="{D5B9BD0C-0FCE-B0CC-995B-4A0927C67874}"/>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9129713" y="37814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54768</xdr:colOff>
      <xdr:row>7</xdr:row>
      <xdr:rowOff>47625</xdr:rowOff>
    </xdr:from>
    <xdr:to>
      <xdr:col>13</xdr:col>
      <xdr:colOff>461962</xdr:colOff>
      <xdr:row>22</xdr:row>
      <xdr:rowOff>76200</xdr:rowOff>
    </xdr:to>
    <xdr:graphicFrame macro="">
      <xdr:nvGraphicFramePr>
        <xdr:cNvPr id="7" name="Chart 6">
          <a:extLst>
            <a:ext uri="{FF2B5EF4-FFF2-40B4-BE49-F238E27FC236}">
              <a16:creationId xmlns:a16="http://schemas.microsoft.com/office/drawing/2014/main" id="{F9117255-CD70-B364-C375-BF218480A0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54768</xdr:colOff>
      <xdr:row>7</xdr:row>
      <xdr:rowOff>47625</xdr:rowOff>
    </xdr:from>
    <xdr:to>
      <xdr:col>13</xdr:col>
      <xdr:colOff>461962</xdr:colOff>
      <xdr:row>22</xdr:row>
      <xdr:rowOff>76200</xdr:rowOff>
    </xdr:to>
    <xdr:graphicFrame macro="">
      <xdr:nvGraphicFramePr>
        <xdr:cNvPr id="2" name="Chart 1">
          <a:extLst>
            <a:ext uri="{FF2B5EF4-FFF2-40B4-BE49-F238E27FC236}">
              <a16:creationId xmlns:a16="http://schemas.microsoft.com/office/drawing/2014/main" id="{A74F4F2F-3B2F-4040-A2B9-FAC04CB50F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igail Darson" refreshedDate="46301.705128703703" createdVersion="8" refreshedVersion="8" minRefreshableVersion="3" recordCount="1000" xr:uid="{D27EAFC0-9B6B-4AA8-8F70-5DCBA65F70D1}">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ee Type Name" numFmtId="0">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9140469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x v="0"/>
    <s v="M"/>
    <x v="0"/>
    <n v="9.9499999999999993"/>
    <n v="19.899999999999999"/>
    <s v="Robusta"/>
    <x v="0"/>
    <x v="0"/>
  </r>
  <r>
    <s v="QEV-37451-860"/>
    <x v="0"/>
    <s v="17670-51384-MA"/>
    <s v="E-M-0.5"/>
    <n v="5"/>
    <x v="0"/>
    <s v="aallner0@lulu.com"/>
    <x v="0"/>
    <x v="1"/>
    <s v="M"/>
    <x v="1"/>
    <n v="8.25"/>
    <n v="41.25"/>
    <s v="Excelsa"/>
    <x v="0"/>
    <x v="0"/>
  </r>
  <r>
    <s v="FAA-43335-268"/>
    <x v="1"/>
    <s v="21125-22134-PX"/>
    <s v="A-L-1"/>
    <n v="1"/>
    <x v="1"/>
    <s v="jredholes2@tmall.com"/>
    <x v="0"/>
    <x v="2"/>
    <s v="L"/>
    <x v="0"/>
    <n v="12.95"/>
    <n v="12.95"/>
    <s v="Arabica"/>
    <x v="1"/>
    <x v="0"/>
  </r>
  <r>
    <s v="KAC-83089-793"/>
    <x v="2"/>
    <s v="23806-46781-OU"/>
    <s v="E-M-1"/>
    <n v="2"/>
    <x v="2"/>
    <s v=""/>
    <x v="1"/>
    <x v="1"/>
    <s v="M"/>
    <x v="0"/>
    <n v="13.75"/>
    <n v="27.5"/>
    <s v="Excelsa"/>
    <x v="0"/>
    <x v="1"/>
  </r>
  <r>
    <s v="KAC-83089-793"/>
    <x v="2"/>
    <s v="23806-46781-OU"/>
    <s v="R-L-2.5"/>
    <n v="2"/>
    <x v="2"/>
    <s v=""/>
    <x v="1"/>
    <x v="0"/>
    <s v="L"/>
    <x v="2"/>
    <n v="27.484999999999996"/>
    <n v="54.969999999999992"/>
    <s v="Robusta"/>
    <x v="1"/>
    <x v="1"/>
  </r>
  <r>
    <s v="CVP-18956-553"/>
    <x v="3"/>
    <s v="86561-91660-RB"/>
    <s v="L-D-1"/>
    <n v="3"/>
    <x v="3"/>
    <s v=""/>
    <x v="0"/>
    <x v="3"/>
    <s v="D"/>
    <x v="0"/>
    <n v="12.95"/>
    <n v="38.849999999999994"/>
    <s v="Liberica"/>
    <x v="2"/>
    <x v="1"/>
  </r>
  <r>
    <s v="IPP-31994-879"/>
    <x v="4"/>
    <s v="65223-29612-CB"/>
    <s v="E-D-0.5"/>
    <n v="3"/>
    <x v="4"/>
    <s v="slobe6@nifty.com"/>
    <x v="0"/>
    <x v="1"/>
    <s v="D"/>
    <x v="1"/>
    <n v="7.29"/>
    <n v="21.87"/>
    <s v="Excelsa"/>
    <x v="2"/>
    <x v="0"/>
  </r>
  <r>
    <s v="SNZ-65340-705"/>
    <x v="5"/>
    <s v="21134-81676-FR"/>
    <s v="L-L-0.2"/>
    <n v="1"/>
    <x v="5"/>
    <s v=""/>
    <x v="1"/>
    <x v="3"/>
    <s v="L"/>
    <x v="3"/>
    <n v="4.7549999999999999"/>
    <n v="4.7549999999999999"/>
    <s v="Liberica"/>
    <x v="1"/>
    <x v="0"/>
  </r>
  <r>
    <s v="EZT-46571-659"/>
    <x v="6"/>
    <s v="03396-68805-ZC"/>
    <s v="R-M-0.5"/>
    <n v="3"/>
    <x v="6"/>
    <s v="gpetracci8@livejournal.com"/>
    <x v="0"/>
    <x v="0"/>
    <s v="M"/>
    <x v="1"/>
    <n v="5.97"/>
    <n v="17.91"/>
    <s v="Robusta"/>
    <x v="0"/>
    <x v="1"/>
  </r>
  <r>
    <s v="NWQ-70061-912"/>
    <x v="0"/>
    <s v="61021-27840-ZN"/>
    <s v="R-M-0.5"/>
    <n v="1"/>
    <x v="7"/>
    <s v="rraven9@ed.gov"/>
    <x v="0"/>
    <x v="0"/>
    <s v="M"/>
    <x v="1"/>
    <n v="5.97"/>
    <n v="5.97"/>
    <s v="Robusta"/>
    <x v="0"/>
    <x v="1"/>
  </r>
  <r>
    <s v="BKK-47233-845"/>
    <x v="7"/>
    <s v="76239-90137-UQ"/>
    <s v="A-D-1"/>
    <n v="4"/>
    <x v="8"/>
    <s v="fferbera@businesswire.com"/>
    <x v="0"/>
    <x v="2"/>
    <s v="D"/>
    <x v="0"/>
    <n v="9.9499999999999993"/>
    <n v="39.799999999999997"/>
    <s v="Arabica"/>
    <x v="2"/>
    <x v="1"/>
  </r>
  <r>
    <s v="VQR-01002-970"/>
    <x v="8"/>
    <s v="49315-21985-BB"/>
    <s v="E-L-2.5"/>
    <n v="5"/>
    <x v="9"/>
    <s v="dphizackerlyb@utexas.edu"/>
    <x v="0"/>
    <x v="1"/>
    <s v="L"/>
    <x v="2"/>
    <n v="34.154999999999994"/>
    <n v="170.77499999999998"/>
    <s v="Excelsa"/>
    <x v="1"/>
    <x v="0"/>
  </r>
  <r>
    <s v="SZW-48378-399"/>
    <x v="9"/>
    <s v="34136-36674-OM"/>
    <s v="R-M-1"/>
    <n v="5"/>
    <x v="10"/>
    <s v="rscholarc@nyu.edu"/>
    <x v="0"/>
    <x v="0"/>
    <s v="M"/>
    <x v="0"/>
    <n v="9.9499999999999993"/>
    <n v="49.75"/>
    <s v="Robusta"/>
    <x v="0"/>
    <x v="1"/>
  </r>
  <r>
    <s v="ITA-87418-783"/>
    <x v="10"/>
    <s v="39396-12890-PE"/>
    <s v="R-D-2.5"/>
    <n v="2"/>
    <x v="11"/>
    <s v="tvanyutind@wix.com"/>
    <x v="0"/>
    <x v="0"/>
    <s v="D"/>
    <x v="2"/>
    <n v="20.584999999999997"/>
    <n v="41.169999999999995"/>
    <s v="Robusta"/>
    <x v="2"/>
    <x v="1"/>
  </r>
  <r>
    <s v="GNZ-46006-527"/>
    <x v="11"/>
    <s v="95875-73336-RG"/>
    <s v="L-D-0.2"/>
    <n v="3"/>
    <x v="12"/>
    <s v="ptrobee@wunderground.com"/>
    <x v="0"/>
    <x v="3"/>
    <s v="D"/>
    <x v="3"/>
    <n v="3.8849999999999998"/>
    <n v="11.654999999999999"/>
    <s v="Liberica"/>
    <x v="2"/>
    <x v="0"/>
  </r>
  <r>
    <s v="FYQ-78248-319"/>
    <x v="12"/>
    <s v="25473-43727-BY"/>
    <s v="R-M-2.5"/>
    <n v="5"/>
    <x v="13"/>
    <s v="loscroftf@ebay.co.uk"/>
    <x v="0"/>
    <x v="0"/>
    <s v="M"/>
    <x v="2"/>
    <n v="22.884999999999998"/>
    <n v="114.42499999999998"/>
    <s v="Robusta"/>
    <x v="0"/>
    <x v="1"/>
  </r>
  <r>
    <s v="VAU-44387-624"/>
    <x v="13"/>
    <s v="99643-51048-IQ"/>
    <s v="A-M-0.2"/>
    <n v="6"/>
    <x v="14"/>
    <s v="malabasterg@hexun.com"/>
    <x v="0"/>
    <x v="2"/>
    <s v="M"/>
    <x v="3"/>
    <n v="3.375"/>
    <n v="20.25"/>
    <s v="Arabica"/>
    <x v="0"/>
    <x v="1"/>
  </r>
  <r>
    <s v="RDW-33155-159"/>
    <x v="14"/>
    <s v="62173-15287-CU"/>
    <s v="A-L-1"/>
    <n v="6"/>
    <x v="15"/>
    <s v="rbroxuph@jimdo.com"/>
    <x v="0"/>
    <x v="2"/>
    <s v="L"/>
    <x v="0"/>
    <n v="12.95"/>
    <n v="77.699999999999989"/>
    <s v="Arabica"/>
    <x v="1"/>
    <x v="1"/>
  </r>
  <r>
    <s v="TDZ-59011-211"/>
    <x v="15"/>
    <s v="57611-05522-ST"/>
    <s v="R-D-2.5"/>
    <n v="4"/>
    <x v="16"/>
    <s v="predfordi@ow.ly"/>
    <x v="1"/>
    <x v="0"/>
    <s v="D"/>
    <x v="2"/>
    <n v="20.584999999999997"/>
    <n v="82.339999999999989"/>
    <s v="Robusta"/>
    <x v="2"/>
    <x v="0"/>
  </r>
  <r>
    <s v="IDU-25793-399"/>
    <x v="16"/>
    <s v="76664-37050-DT"/>
    <s v="A-M-0.2"/>
    <n v="5"/>
    <x v="17"/>
    <s v="acorradinoj@harvard.edu"/>
    <x v="0"/>
    <x v="2"/>
    <s v="M"/>
    <x v="3"/>
    <n v="3.375"/>
    <n v="16.875"/>
    <s v="Arabica"/>
    <x v="0"/>
    <x v="0"/>
  </r>
  <r>
    <s v="IDU-25793-399"/>
    <x v="16"/>
    <s v="76664-37050-DT"/>
    <s v="E-D-0.2"/>
    <n v="4"/>
    <x v="17"/>
    <s v="acorradinoj@harvard.edu"/>
    <x v="0"/>
    <x v="1"/>
    <s v="D"/>
    <x v="3"/>
    <n v="3.645"/>
    <n v="14.58"/>
    <s v="Excelsa"/>
    <x v="2"/>
    <x v="0"/>
  </r>
  <r>
    <s v="NUO-20013-488"/>
    <x v="16"/>
    <s v="03090-88267-BQ"/>
    <s v="A-D-0.2"/>
    <n v="6"/>
    <x v="18"/>
    <s v="adavidowskyl@netvibes.com"/>
    <x v="0"/>
    <x v="2"/>
    <s v="D"/>
    <x v="3"/>
    <n v="2.9849999999999999"/>
    <n v="17.91"/>
    <s v="Arabica"/>
    <x v="2"/>
    <x v="1"/>
  </r>
  <r>
    <s v="UQU-65630-479"/>
    <x v="17"/>
    <s v="37651-47492-NC"/>
    <s v="R-M-2.5"/>
    <n v="4"/>
    <x v="19"/>
    <s v="aantukm@kickstarter.com"/>
    <x v="0"/>
    <x v="0"/>
    <s v="M"/>
    <x v="2"/>
    <n v="22.884999999999998"/>
    <n v="91.539999999999992"/>
    <s v="Robusta"/>
    <x v="0"/>
    <x v="0"/>
  </r>
  <r>
    <s v="FEO-11834-332"/>
    <x v="18"/>
    <s v="95399-57205-HI"/>
    <s v="A-D-0.2"/>
    <n v="4"/>
    <x v="20"/>
    <s v="ikleinertn@timesonline.co.uk"/>
    <x v="0"/>
    <x v="2"/>
    <s v="D"/>
    <x v="3"/>
    <n v="2.9849999999999999"/>
    <n v="11.94"/>
    <s v="Arabica"/>
    <x v="2"/>
    <x v="0"/>
  </r>
  <r>
    <s v="TKY-71558-096"/>
    <x v="19"/>
    <s v="24010-66714-HW"/>
    <s v="A-M-1"/>
    <n v="1"/>
    <x v="21"/>
    <s v="cblofeldo@amazon.co.uk"/>
    <x v="0"/>
    <x v="2"/>
    <s v="M"/>
    <x v="0"/>
    <n v="11.25"/>
    <n v="11.25"/>
    <s v="Arabica"/>
    <x v="0"/>
    <x v="1"/>
  </r>
  <r>
    <s v="OXY-65322-253"/>
    <x v="20"/>
    <s v="07591-92789-UA"/>
    <s v="E-M-0.2"/>
    <n v="3"/>
    <x v="22"/>
    <s v=""/>
    <x v="0"/>
    <x v="1"/>
    <s v="M"/>
    <x v="3"/>
    <n v="4.125"/>
    <n v="12.375"/>
    <s v="Excelsa"/>
    <x v="0"/>
    <x v="0"/>
  </r>
  <r>
    <s v="EVP-43500-491"/>
    <x v="21"/>
    <s v="49231-44455-IC"/>
    <s v="A-M-0.5"/>
    <n v="4"/>
    <x v="23"/>
    <s v="sshalesq@umich.edu"/>
    <x v="0"/>
    <x v="2"/>
    <s v="M"/>
    <x v="1"/>
    <n v="6.75"/>
    <n v="27"/>
    <s v="Arabica"/>
    <x v="0"/>
    <x v="0"/>
  </r>
  <r>
    <s v="WAG-26945-689"/>
    <x v="22"/>
    <s v="50124-88608-EO"/>
    <s v="A-M-0.2"/>
    <n v="5"/>
    <x v="24"/>
    <s v="vdanneilr@mtv.com"/>
    <x v="1"/>
    <x v="2"/>
    <s v="M"/>
    <x v="3"/>
    <n v="3.375"/>
    <n v="16.875"/>
    <s v="Arabica"/>
    <x v="0"/>
    <x v="1"/>
  </r>
  <r>
    <s v="CHE-78995-767"/>
    <x v="23"/>
    <s v="00888-74814-UZ"/>
    <s v="A-D-0.5"/>
    <n v="3"/>
    <x v="25"/>
    <s v="tnewburys@usda.gov"/>
    <x v="1"/>
    <x v="2"/>
    <s v="D"/>
    <x v="1"/>
    <n v="5.97"/>
    <n v="17.91"/>
    <s v="Arabica"/>
    <x v="2"/>
    <x v="1"/>
  </r>
  <r>
    <s v="RYZ-14633-602"/>
    <x v="21"/>
    <s v="14158-30713-OB"/>
    <s v="A-D-1"/>
    <n v="4"/>
    <x v="26"/>
    <s v="mcalcuttt@baidu.com"/>
    <x v="1"/>
    <x v="2"/>
    <s v="D"/>
    <x v="0"/>
    <n v="9.9499999999999993"/>
    <n v="39.799999999999997"/>
    <s v="Arabica"/>
    <x v="2"/>
    <x v="0"/>
  </r>
  <r>
    <s v="WOQ-36015-429"/>
    <x v="24"/>
    <s v="51427-89175-QJ"/>
    <s v="L-M-0.2"/>
    <n v="5"/>
    <x v="27"/>
    <s v=""/>
    <x v="0"/>
    <x v="3"/>
    <s v="M"/>
    <x v="3"/>
    <n v="4.3650000000000002"/>
    <n v="21.825000000000003"/>
    <s v="Liberica"/>
    <x v="0"/>
    <x v="1"/>
  </r>
  <r>
    <s v="WOQ-36015-429"/>
    <x v="24"/>
    <s v="51427-89175-QJ"/>
    <s v="A-D-0.5"/>
    <n v="6"/>
    <x v="27"/>
    <s v=""/>
    <x v="0"/>
    <x v="2"/>
    <s v="D"/>
    <x v="1"/>
    <n v="5.97"/>
    <n v="35.82"/>
    <s v="Arabica"/>
    <x v="2"/>
    <x v="1"/>
  </r>
  <r>
    <s v="WOQ-36015-429"/>
    <x v="24"/>
    <s v="51427-89175-QJ"/>
    <s v="L-M-0.5"/>
    <n v="6"/>
    <x v="27"/>
    <s v=""/>
    <x v="0"/>
    <x v="3"/>
    <s v="M"/>
    <x v="1"/>
    <n v="8.73"/>
    <n v="52.38"/>
    <s v="Liberica"/>
    <x v="0"/>
    <x v="1"/>
  </r>
  <r>
    <s v="SCT-60553-454"/>
    <x v="25"/>
    <s v="39123-12846-YJ"/>
    <s v="L-L-0.2"/>
    <n v="5"/>
    <x v="28"/>
    <s v="ggatheralx@123-reg.co.uk"/>
    <x v="0"/>
    <x v="3"/>
    <s v="L"/>
    <x v="3"/>
    <n v="4.7549999999999999"/>
    <n v="23.774999999999999"/>
    <s v="Liberica"/>
    <x v="1"/>
    <x v="1"/>
  </r>
  <r>
    <s v="GFK-52063-244"/>
    <x v="26"/>
    <s v="44981-99666-XB"/>
    <s v="L-L-0.5"/>
    <n v="6"/>
    <x v="29"/>
    <s v="uwelberryy@ebay.co.uk"/>
    <x v="2"/>
    <x v="3"/>
    <s v="L"/>
    <x v="1"/>
    <n v="9.51"/>
    <n v="57.06"/>
    <s v="Liberica"/>
    <x v="1"/>
    <x v="0"/>
  </r>
  <r>
    <s v="AMM-79521-378"/>
    <x v="27"/>
    <s v="24825-51803-CQ"/>
    <s v="A-D-0.5"/>
    <n v="6"/>
    <x v="30"/>
    <s v="feilhartz@who.int"/>
    <x v="0"/>
    <x v="2"/>
    <s v="D"/>
    <x v="1"/>
    <n v="5.97"/>
    <n v="35.82"/>
    <s v="Arabica"/>
    <x v="2"/>
    <x v="1"/>
  </r>
  <r>
    <s v="QUQ-90580-772"/>
    <x v="28"/>
    <s v="77634-13918-GJ"/>
    <s v="L-M-0.2"/>
    <n v="2"/>
    <x v="31"/>
    <s v="zponting10@altervista.org"/>
    <x v="0"/>
    <x v="3"/>
    <s v="M"/>
    <x v="3"/>
    <n v="4.3650000000000002"/>
    <n v="8.73"/>
    <s v="Liberica"/>
    <x v="0"/>
    <x v="1"/>
  </r>
  <r>
    <s v="LGD-24408-274"/>
    <x v="29"/>
    <s v="13694-25001-LX"/>
    <s v="L-L-0.5"/>
    <n v="3"/>
    <x v="32"/>
    <s v="sstrase11@booking.com"/>
    <x v="0"/>
    <x v="3"/>
    <s v="L"/>
    <x v="1"/>
    <n v="9.51"/>
    <n v="28.53"/>
    <s v="Liberica"/>
    <x v="1"/>
    <x v="1"/>
  </r>
  <r>
    <s v="HCT-95608-959"/>
    <x v="30"/>
    <s v="08523-01791-TI"/>
    <s v="R-M-2.5"/>
    <n v="5"/>
    <x v="33"/>
    <s v="dde12@unesco.org"/>
    <x v="0"/>
    <x v="0"/>
    <s v="M"/>
    <x v="2"/>
    <n v="22.884999999999998"/>
    <n v="114.42499999999998"/>
    <s v="Robusta"/>
    <x v="0"/>
    <x v="1"/>
  </r>
  <r>
    <s v="OFX-99147-470"/>
    <x v="31"/>
    <s v="49860-68865-AB"/>
    <s v="R-M-1"/>
    <n v="6"/>
    <x v="34"/>
    <s v=""/>
    <x v="0"/>
    <x v="0"/>
    <s v="M"/>
    <x v="0"/>
    <n v="9.9499999999999993"/>
    <n v="59.699999999999996"/>
    <s v="Robusta"/>
    <x v="0"/>
    <x v="0"/>
  </r>
  <r>
    <s v="LUO-37559-016"/>
    <x v="32"/>
    <s v="21240-83132-SP"/>
    <s v="L-M-1"/>
    <n v="3"/>
    <x v="35"/>
    <s v=""/>
    <x v="0"/>
    <x v="3"/>
    <s v="M"/>
    <x v="0"/>
    <n v="14.55"/>
    <n v="43.650000000000006"/>
    <s v="Liberica"/>
    <x v="0"/>
    <x v="1"/>
  </r>
  <r>
    <s v="XWC-20610-167"/>
    <x v="33"/>
    <s v="08350-81623-TF"/>
    <s v="E-D-0.2"/>
    <n v="2"/>
    <x v="36"/>
    <s v="lyeoland15@pbs.org"/>
    <x v="0"/>
    <x v="1"/>
    <s v="D"/>
    <x v="3"/>
    <n v="3.645"/>
    <n v="7.29"/>
    <s v="Excelsa"/>
    <x v="2"/>
    <x v="0"/>
  </r>
  <r>
    <s v="GPU-79113-136"/>
    <x v="34"/>
    <s v="73284-01385-SJ"/>
    <s v="R-D-0.2"/>
    <n v="3"/>
    <x v="37"/>
    <s v="atolworthy16@toplist.cz"/>
    <x v="0"/>
    <x v="0"/>
    <s v="D"/>
    <x v="3"/>
    <n v="2.6849999999999996"/>
    <n v="8.0549999999999997"/>
    <s v="Robusta"/>
    <x v="2"/>
    <x v="0"/>
  </r>
  <r>
    <s v="ULR-52653-960"/>
    <x v="35"/>
    <s v="04152-34436-IE"/>
    <s v="L-L-2.5"/>
    <n v="2"/>
    <x v="38"/>
    <s v=""/>
    <x v="0"/>
    <x v="3"/>
    <s v="L"/>
    <x v="2"/>
    <n v="36.454999999999998"/>
    <n v="72.91"/>
    <s v="Liberica"/>
    <x v="1"/>
    <x v="1"/>
  </r>
  <r>
    <s v="HPI-42308-142"/>
    <x v="36"/>
    <s v="06631-86965-XP"/>
    <s v="E-M-0.5"/>
    <n v="2"/>
    <x v="39"/>
    <s v="obaudassi18@seesaa.net"/>
    <x v="0"/>
    <x v="1"/>
    <s v="M"/>
    <x v="1"/>
    <n v="8.25"/>
    <n v="16.5"/>
    <s v="Excelsa"/>
    <x v="0"/>
    <x v="0"/>
  </r>
  <r>
    <s v="XHI-30227-581"/>
    <x v="37"/>
    <s v="54619-08558-ZU"/>
    <s v="L-D-2.5"/>
    <n v="6"/>
    <x v="40"/>
    <s v="pkingsbury19@comcast.net"/>
    <x v="0"/>
    <x v="3"/>
    <s v="D"/>
    <x v="2"/>
    <n v="29.784999999999997"/>
    <n v="178.70999999999998"/>
    <s v="Liberica"/>
    <x v="2"/>
    <x v="1"/>
  </r>
  <r>
    <s v="DJH-05202-380"/>
    <x v="38"/>
    <s v="85589-17020-CX"/>
    <s v="E-M-2.5"/>
    <n v="2"/>
    <x v="41"/>
    <s v=""/>
    <x v="0"/>
    <x v="1"/>
    <s v="M"/>
    <x v="2"/>
    <n v="31.624999999999996"/>
    <n v="63.249999999999993"/>
    <s v="Excelsa"/>
    <x v="0"/>
    <x v="0"/>
  </r>
  <r>
    <s v="VMW-26889-781"/>
    <x v="39"/>
    <s v="36078-91009-WU"/>
    <s v="A-L-0.2"/>
    <n v="2"/>
    <x v="42"/>
    <s v="acurley1b@hao123.com"/>
    <x v="0"/>
    <x v="2"/>
    <s v="L"/>
    <x v="3"/>
    <n v="3.8849999999999998"/>
    <n v="7.77"/>
    <s v="Arabica"/>
    <x v="1"/>
    <x v="0"/>
  </r>
  <r>
    <s v="DBU-81099-586"/>
    <x v="40"/>
    <s v="15770-27099-GX"/>
    <s v="A-D-2.5"/>
    <n v="4"/>
    <x v="43"/>
    <s v="rmcgilvary1c@tamu.edu"/>
    <x v="0"/>
    <x v="2"/>
    <s v="D"/>
    <x v="2"/>
    <n v="22.884999999999998"/>
    <n v="91.539999999999992"/>
    <s v="Arabica"/>
    <x v="2"/>
    <x v="1"/>
  </r>
  <r>
    <s v="PQA-54820-810"/>
    <x v="41"/>
    <s v="91460-04823-BX"/>
    <s v="A-L-1"/>
    <n v="3"/>
    <x v="44"/>
    <s v="ipikett1d@xinhuanet.com"/>
    <x v="0"/>
    <x v="2"/>
    <s v="L"/>
    <x v="0"/>
    <n v="12.95"/>
    <n v="38.849999999999994"/>
    <s v="Arabica"/>
    <x v="1"/>
    <x v="1"/>
  </r>
  <r>
    <s v="XKB-41924-202"/>
    <x v="42"/>
    <s v="45089-52817-WN"/>
    <s v="L-D-0.5"/>
    <n v="2"/>
    <x v="45"/>
    <s v="ibouldon1e@gizmodo.com"/>
    <x v="0"/>
    <x v="3"/>
    <s v="D"/>
    <x v="1"/>
    <n v="7.77"/>
    <n v="15.54"/>
    <s v="Liberica"/>
    <x v="2"/>
    <x v="1"/>
  </r>
  <r>
    <s v="DWZ-69106-473"/>
    <x v="43"/>
    <s v="76447-50326-IC"/>
    <s v="L-L-2.5"/>
    <n v="4"/>
    <x v="46"/>
    <s v="kflanders1f@over-blog.com"/>
    <x v="1"/>
    <x v="3"/>
    <s v="L"/>
    <x v="2"/>
    <n v="36.454999999999998"/>
    <n v="145.82"/>
    <s v="Liberica"/>
    <x v="1"/>
    <x v="0"/>
  </r>
  <r>
    <s v="YHV-68700-050"/>
    <x v="44"/>
    <s v="26333-67911-OL"/>
    <s v="R-M-0.5"/>
    <n v="5"/>
    <x v="47"/>
    <s v="hmattioli1g@webmd.com"/>
    <x v="2"/>
    <x v="0"/>
    <s v="M"/>
    <x v="1"/>
    <n v="5.97"/>
    <n v="29.849999999999998"/>
    <s v="Robusta"/>
    <x v="0"/>
    <x v="1"/>
  </r>
  <r>
    <s v="YHV-68700-050"/>
    <x v="44"/>
    <s v="26333-67911-OL"/>
    <s v="L-L-2.5"/>
    <n v="2"/>
    <x v="47"/>
    <s v="hmattioli1g@webmd.com"/>
    <x v="2"/>
    <x v="3"/>
    <s v="L"/>
    <x v="2"/>
    <n v="36.454999999999998"/>
    <n v="72.91"/>
    <s v="Liberica"/>
    <x v="1"/>
    <x v="1"/>
  </r>
  <r>
    <s v="KRB-88066-642"/>
    <x v="45"/>
    <s v="22107-86640-SB"/>
    <s v="L-M-1"/>
    <n v="5"/>
    <x v="48"/>
    <s v="agillard1i@issuu.com"/>
    <x v="0"/>
    <x v="3"/>
    <s v="M"/>
    <x v="0"/>
    <n v="14.55"/>
    <n v="72.75"/>
    <s v="Liberica"/>
    <x v="0"/>
    <x v="1"/>
  </r>
  <r>
    <s v="LQU-08404-173"/>
    <x v="46"/>
    <s v="09960-34242-LZ"/>
    <s v="L-L-1"/>
    <n v="3"/>
    <x v="49"/>
    <s v=""/>
    <x v="0"/>
    <x v="3"/>
    <s v="L"/>
    <x v="0"/>
    <n v="15.85"/>
    <n v="47.55"/>
    <s v="Liberica"/>
    <x v="1"/>
    <x v="1"/>
  </r>
  <r>
    <s v="CWK-60159-881"/>
    <x v="47"/>
    <s v="04671-85591-RT"/>
    <s v="E-D-0.2"/>
    <n v="3"/>
    <x v="50"/>
    <s v="tgrizard1k@odnoklassniki.ru"/>
    <x v="0"/>
    <x v="1"/>
    <s v="D"/>
    <x v="3"/>
    <n v="3.645"/>
    <n v="10.935"/>
    <s v="Excelsa"/>
    <x v="2"/>
    <x v="0"/>
  </r>
  <r>
    <s v="EEG-74197-843"/>
    <x v="48"/>
    <s v="25729-68859-UA"/>
    <s v="E-L-1"/>
    <n v="4"/>
    <x v="51"/>
    <s v="rrelton1l@stanford.edu"/>
    <x v="0"/>
    <x v="1"/>
    <s v="L"/>
    <x v="0"/>
    <n v="14.85"/>
    <n v="59.4"/>
    <s v="Excelsa"/>
    <x v="1"/>
    <x v="1"/>
  </r>
  <r>
    <s v="UCZ-59708-525"/>
    <x v="49"/>
    <s v="05501-86351-NX"/>
    <s v="L-D-2.5"/>
    <n v="3"/>
    <x v="52"/>
    <s v=""/>
    <x v="0"/>
    <x v="3"/>
    <s v="D"/>
    <x v="2"/>
    <n v="29.784999999999997"/>
    <n v="89.35499999999999"/>
    <s v="Liberica"/>
    <x v="2"/>
    <x v="0"/>
  </r>
  <r>
    <s v="HUB-47311-849"/>
    <x v="50"/>
    <s v="04521-04300-OK"/>
    <s v="L-M-0.5"/>
    <n v="3"/>
    <x v="53"/>
    <s v="sgilroy1n@eepurl.com"/>
    <x v="0"/>
    <x v="3"/>
    <s v="M"/>
    <x v="1"/>
    <n v="8.73"/>
    <n v="26.19"/>
    <s v="Liberica"/>
    <x v="0"/>
    <x v="0"/>
  </r>
  <r>
    <s v="WYM-17686-694"/>
    <x v="51"/>
    <s v="58689-55264-VK"/>
    <s v="A-D-2.5"/>
    <n v="5"/>
    <x v="54"/>
    <s v="ccottingham1o@wikipedia.org"/>
    <x v="0"/>
    <x v="2"/>
    <s v="D"/>
    <x v="2"/>
    <n v="22.884999999999998"/>
    <n v="114.42499999999998"/>
    <s v="Arabica"/>
    <x v="2"/>
    <x v="1"/>
  </r>
  <r>
    <s v="ZYQ-15797-695"/>
    <x v="52"/>
    <s v="79436-73011-MM"/>
    <s v="R-D-0.5"/>
    <n v="5"/>
    <x v="55"/>
    <s v=""/>
    <x v="2"/>
    <x v="0"/>
    <s v="D"/>
    <x v="1"/>
    <n v="5.3699999999999992"/>
    <n v="26.849999999999994"/>
    <s v="Robusta"/>
    <x v="2"/>
    <x v="0"/>
  </r>
  <r>
    <s v="EEJ-16185-108"/>
    <x v="53"/>
    <s v="65552-60476-KY"/>
    <s v="L-L-0.2"/>
    <n v="5"/>
    <x v="56"/>
    <s v=""/>
    <x v="0"/>
    <x v="3"/>
    <s v="L"/>
    <x v="3"/>
    <n v="4.7549999999999999"/>
    <n v="23.774999999999999"/>
    <s v="Liberica"/>
    <x v="1"/>
    <x v="0"/>
  </r>
  <r>
    <s v="RWR-77888-800"/>
    <x v="54"/>
    <s v="69904-02729-YS"/>
    <s v="A-M-0.5"/>
    <n v="1"/>
    <x v="57"/>
    <s v="adykes1r@eventbrite.com"/>
    <x v="0"/>
    <x v="2"/>
    <s v="M"/>
    <x v="1"/>
    <n v="6.75"/>
    <n v="6.75"/>
    <s v="Arabica"/>
    <x v="0"/>
    <x v="1"/>
  </r>
  <r>
    <s v="LHN-75209-742"/>
    <x v="55"/>
    <s v="01433-04270-AX"/>
    <s v="R-M-0.5"/>
    <n v="6"/>
    <x v="58"/>
    <s v=""/>
    <x v="0"/>
    <x v="0"/>
    <s v="M"/>
    <x v="1"/>
    <n v="5.97"/>
    <n v="35.82"/>
    <s v="Robusta"/>
    <x v="0"/>
    <x v="0"/>
  </r>
  <r>
    <s v="TIR-71396-998"/>
    <x v="56"/>
    <s v="14204-14186-LA"/>
    <s v="R-D-2.5"/>
    <n v="4"/>
    <x v="59"/>
    <s v="acockrem1t@engadget.com"/>
    <x v="0"/>
    <x v="0"/>
    <s v="D"/>
    <x v="2"/>
    <n v="20.584999999999997"/>
    <n v="82.339999999999989"/>
    <s v="Robusta"/>
    <x v="2"/>
    <x v="0"/>
  </r>
  <r>
    <s v="RXF-37618-213"/>
    <x v="57"/>
    <s v="32948-34398-HC"/>
    <s v="R-L-0.5"/>
    <n v="1"/>
    <x v="60"/>
    <s v="bumpleby1u@soundcloud.com"/>
    <x v="0"/>
    <x v="0"/>
    <s v="L"/>
    <x v="1"/>
    <n v="7.169999999999999"/>
    <n v="7.169999999999999"/>
    <s v="Robusta"/>
    <x v="1"/>
    <x v="0"/>
  </r>
  <r>
    <s v="ANM-16388-634"/>
    <x v="58"/>
    <s v="77343-52608-FF"/>
    <s v="L-L-0.2"/>
    <n v="2"/>
    <x v="61"/>
    <s v="nsaleway1v@dedecms.com"/>
    <x v="0"/>
    <x v="3"/>
    <s v="L"/>
    <x v="3"/>
    <n v="4.7549999999999999"/>
    <n v="9.51"/>
    <s v="Liberica"/>
    <x v="1"/>
    <x v="1"/>
  </r>
  <r>
    <s v="WYL-29300-070"/>
    <x v="59"/>
    <s v="42770-36274-QA"/>
    <s v="R-M-0.2"/>
    <n v="1"/>
    <x v="62"/>
    <s v="hgoulter1w@abc.net.au"/>
    <x v="0"/>
    <x v="0"/>
    <s v="M"/>
    <x v="3"/>
    <n v="2.9849999999999999"/>
    <n v="2.9849999999999999"/>
    <s v="Robusta"/>
    <x v="0"/>
    <x v="1"/>
  </r>
  <r>
    <s v="JHW-74554-805"/>
    <x v="60"/>
    <s v="14103-58987-ZU"/>
    <s v="R-M-1"/>
    <n v="6"/>
    <x v="63"/>
    <s v="grizzello1x@symantec.com"/>
    <x v="2"/>
    <x v="0"/>
    <s v="M"/>
    <x v="0"/>
    <n v="9.9499999999999993"/>
    <n v="59.699999999999996"/>
    <s v="Robusta"/>
    <x v="0"/>
    <x v="0"/>
  </r>
  <r>
    <s v="KYS-27063-603"/>
    <x v="61"/>
    <s v="69958-32065-SW"/>
    <s v="E-L-2.5"/>
    <n v="4"/>
    <x v="64"/>
    <s v="slist1y@mapquest.com"/>
    <x v="0"/>
    <x v="1"/>
    <s v="L"/>
    <x v="2"/>
    <n v="34.154999999999994"/>
    <n v="136.61999999999998"/>
    <s v="Excelsa"/>
    <x v="1"/>
    <x v="1"/>
  </r>
  <r>
    <s v="GAZ-58626-277"/>
    <x v="62"/>
    <s v="69533-84907-FA"/>
    <s v="L-L-0.2"/>
    <n v="2"/>
    <x v="65"/>
    <s v="sedmondson1z@theguardian.com"/>
    <x v="1"/>
    <x v="3"/>
    <s v="L"/>
    <x v="3"/>
    <n v="4.7549999999999999"/>
    <n v="9.51"/>
    <s v="Liberica"/>
    <x v="1"/>
    <x v="1"/>
  </r>
  <r>
    <s v="RPJ-37787-335"/>
    <x v="63"/>
    <s v="76005-95461-CI"/>
    <s v="A-M-2.5"/>
    <n v="3"/>
    <x v="66"/>
    <s v=""/>
    <x v="0"/>
    <x v="2"/>
    <s v="M"/>
    <x v="2"/>
    <n v="25.874999999999996"/>
    <n v="77.624999999999986"/>
    <s v="Arabica"/>
    <x v="0"/>
    <x v="1"/>
  </r>
  <r>
    <s v="LEF-83057-763"/>
    <x v="64"/>
    <s v="15395-90855-VB"/>
    <s v="L-M-0.2"/>
    <n v="5"/>
    <x v="67"/>
    <s v=""/>
    <x v="0"/>
    <x v="3"/>
    <s v="M"/>
    <x v="3"/>
    <n v="4.3650000000000002"/>
    <n v="21.825000000000003"/>
    <s v="Liberica"/>
    <x v="0"/>
    <x v="0"/>
  </r>
  <r>
    <s v="RPW-36123-215"/>
    <x v="65"/>
    <s v="80640-45811-LB"/>
    <s v="E-L-0.5"/>
    <n v="2"/>
    <x v="68"/>
    <s v="jrangall22@newsvine.com"/>
    <x v="0"/>
    <x v="1"/>
    <s v="L"/>
    <x v="1"/>
    <n v="8.91"/>
    <n v="17.82"/>
    <s v="Excelsa"/>
    <x v="1"/>
    <x v="0"/>
  </r>
  <r>
    <s v="WLL-59044-117"/>
    <x v="66"/>
    <s v="28476-04082-GR"/>
    <s v="R-D-1"/>
    <n v="6"/>
    <x v="69"/>
    <s v="kboorn23@ezinearticles.com"/>
    <x v="1"/>
    <x v="0"/>
    <s v="D"/>
    <x v="0"/>
    <n v="8.9499999999999993"/>
    <n v="53.699999999999996"/>
    <s v="Robusta"/>
    <x v="2"/>
    <x v="0"/>
  </r>
  <r>
    <s v="AWT-22827-563"/>
    <x v="67"/>
    <s v="12018-75670-EU"/>
    <s v="R-L-0.2"/>
    <n v="1"/>
    <x v="70"/>
    <s v=""/>
    <x v="1"/>
    <x v="0"/>
    <s v="L"/>
    <x v="3"/>
    <n v="3.5849999999999995"/>
    <n v="3.5849999999999995"/>
    <s v="Robusta"/>
    <x v="1"/>
    <x v="0"/>
  </r>
  <r>
    <s v="QLM-07145-668"/>
    <x v="68"/>
    <s v="86437-17399-FK"/>
    <s v="E-D-0.2"/>
    <n v="2"/>
    <x v="71"/>
    <s v="celgey25@webs.com"/>
    <x v="0"/>
    <x v="1"/>
    <s v="D"/>
    <x v="3"/>
    <n v="3.645"/>
    <n v="7.29"/>
    <s v="Excelsa"/>
    <x v="2"/>
    <x v="1"/>
  </r>
  <r>
    <s v="HVQ-64398-930"/>
    <x v="69"/>
    <s v="62979-53167-ML"/>
    <s v="A-M-0.5"/>
    <n v="6"/>
    <x v="72"/>
    <s v="lmizzi26@rakuten.co.jp"/>
    <x v="0"/>
    <x v="2"/>
    <s v="M"/>
    <x v="1"/>
    <n v="6.75"/>
    <n v="40.5"/>
    <s v="Arabica"/>
    <x v="0"/>
    <x v="0"/>
  </r>
  <r>
    <s v="WRT-40778-247"/>
    <x v="70"/>
    <s v="54810-81899-HL"/>
    <s v="R-L-1"/>
    <n v="4"/>
    <x v="73"/>
    <s v="cgiacomazzo27@jigsy.com"/>
    <x v="0"/>
    <x v="0"/>
    <s v="L"/>
    <x v="0"/>
    <n v="11.95"/>
    <n v="47.8"/>
    <s v="Robusta"/>
    <x v="1"/>
    <x v="1"/>
  </r>
  <r>
    <s v="SUB-13006-125"/>
    <x v="71"/>
    <s v="26103-41504-IB"/>
    <s v="A-L-0.5"/>
    <n v="5"/>
    <x v="74"/>
    <s v="aarnow28@arizona.edu"/>
    <x v="0"/>
    <x v="2"/>
    <s v="L"/>
    <x v="1"/>
    <n v="7.77"/>
    <n v="38.849999999999994"/>
    <s v="Arabica"/>
    <x v="1"/>
    <x v="0"/>
  </r>
  <r>
    <s v="CQM-49696-263"/>
    <x v="72"/>
    <s v="76534-45229-SG"/>
    <s v="L-L-2.5"/>
    <n v="3"/>
    <x v="75"/>
    <s v="syann29@senate.gov"/>
    <x v="0"/>
    <x v="3"/>
    <s v="L"/>
    <x v="2"/>
    <n v="36.454999999999998"/>
    <n v="109.36499999999999"/>
    <s v="Liberica"/>
    <x v="1"/>
    <x v="0"/>
  </r>
  <r>
    <s v="KXN-85094-246"/>
    <x v="73"/>
    <s v="81744-27332-RR"/>
    <s v="L-M-2.5"/>
    <n v="3"/>
    <x v="76"/>
    <s v="bnaulls2a@tiny.cc"/>
    <x v="1"/>
    <x v="3"/>
    <s v="M"/>
    <x v="2"/>
    <n v="33.464999999999996"/>
    <n v="100.39499999999998"/>
    <s v="Liberica"/>
    <x v="0"/>
    <x v="0"/>
  </r>
  <r>
    <s v="XOQ-12405-419"/>
    <x v="74"/>
    <s v="91513-75657-PH"/>
    <s v="R-D-2.5"/>
    <n v="4"/>
    <x v="77"/>
    <s v=""/>
    <x v="0"/>
    <x v="0"/>
    <s v="D"/>
    <x v="2"/>
    <n v="20.584999999999997"/>
    <n v="82.339999999999989"/>
    <s v="Robusta"/>
    <x v="2"/>
    <x v="0"/>
  </r>
  <r>
    <s v="HYF-10254-369"/>
    <x v="75"/>
    <s v="30373-66619-CB"/>
    <s v="L-L-0.5"/>
    <n v="1"/>
    <x v="78"/>
    <s v="zsherewood2c@apache.org"/>
    <x v="0"/>
    <x v="3"/>
    <s v="L"/>
    <x v="1"/>
    <n v="9.51"/>
    <n v="9.51"/>
    <s v="Liberica"/>
    <x v="1"/>
    <x v="1"/>
  </r>
  <r>
    <s v="XXJ-47000-307"/>
    <x v="76"/>
    <s v="31582-23562-FM"/>
    <s v="A-L-2.5"/>
    <n v="3"/>
    <x v="79"/>
    <s v="jdufaire2d@fc2.com"/>
    <x v="0"/>
    <x v="2"/>
    <s v="L"/>
    <x v="2"/>
    <n v="29.784999999999997"/>
    <n v="89.35499999999999"/>
    <s v="Arabica"/>
    <x v="1"/>
    <x v="1"/>
  </r>
  <r>
    <s v="XXJ-47000-307"/>
    <x v="76"/>
    <s v="31582-23562-FM"/>
    <s v="A-D-0.2"/>
    <n v="4"/>
    <x v="79"/>
    <s v="jdufaire2d@fc2.com"/>
    <x v="0"/>
    <x v="2"/>
    <s v="D"/>
    <x v="3"/>
    <n v="2.9849999999999999"/>
    <n v="11.94"/>
    <s v="Arabica"/>
    <x v="2"/>
    <x v="1"/>
  </r>
  <r>
    <s v="ZDK-82166-357"/>
    <x v="77"/>
    <s v="81431-12577-VD"/>
    <s v="A-M-1"/>
    <n v="3"/>
    <x v="80"/>
    <s v="bkeaveney2f@netlog.com"/>
    <x v="0"/>
    <x v="2"/>
    <s v="M"/>
    <x v="0"/>
    <n v="11.25"/>
    <n v="33.75"/>
    <s v="Arabica"/>
    <x v="0"/>
    <x v="1"/>
  </r>
  <r>
    <s v="IHN-19982-362"/>
    <x v="78"/>
    <s v="68894-91205-MP"/>
    <s v="R-L-1"/>
    <n v="3"/>
    <x v="81"/>
    <s v="egrise2g@cargocollective.com"/>
    <x v="0"/>
    <x v="0"/>
    <s v="L"/>
    <x v="0"/>
    <n v="11.95"/>
    <n v="35.849999999999994"/>
    <s v="Robusta"/>
    <x v="1"/>
    <x v="1"/>
  </r>
  <r>
    <s v="VMT-10030-889"/>
    <x v="79"/>
    <s v="87602-55754-VN"/>
    <s v="A-L-1"/>
    <n v="6"/>
    <x v="82"/>
    <s v="tgottelier2h@vistaprint.com"/>
    <x v="0"/>
    <x v="2"/>
    <s v="L"/>
    <x v="0"/>
    <n v="12.95"/>
    <n v="77.699999999999989"/>
    <s v="Arabica"/>
    <x v="1"/>
    <x v="1"/>
  </r>
  <r>
    <s v="NHL-11063-100"/>
    <x v="80"/>
    <s v="39181-35745-WH"/>
    <s v="A-L-1"/>
    <n v="4"/>
    <x v="83"/>
    <s v=""/>
    <x v="1"/>
    <x v="2"/>
    <s v="L"/>
    <x v="0"/>
    <n v="12.95"/>
    <n v="51.8"/>
    <s v="Arabica"/>
    <x v="1"/>
    <x v="0"/>
  </r>
  <r>
    <s v="ROV-87448-086"/>
    <x v="81"/>
    <s v="30381-64762-NG"/>
    <s v="A-M-2.5"/>
    <n v="4"/>
    <x v="84"/>
    <s v="agreenhead2j@dailymail.co.uk"/>
    <x v="0"/>
    <x v="2"/>
    <s v="M"/>
    <x v="2"/>
    <n v="25.874999999999996"/>
    <n v="103.49999999999999"/>
    <s v="Arabica"/>
    <x v="0"/>
    <x v="1"/>
  </r>
  <r>
    <s v="DGY-35773-612"/>
    <x v="82"/>
    <s v="17503-27693-ZH"/>
    <s v="E-L-1"/>
    <n v="3"/>
    <x v="85"/>
    <s v=""/>
    <x v="0"/>
    <x v="1"/>
    <s v="L"/>
    <x v="0"/>
    <n v="14.85"/>
    <n v="44.55"/>
    <s v="Excelsa"/>
    <x v="1"/>
    <x v="0"/>
  </r>
  <r>
    <s v="YWH-50638-556"/>
    <x v="83"/>
    <s v="89442-35633-HJ"/>
    <s v="E-L-0.5"/>
    <n v="4"/>
    <x v="86"/>
    <s v="elangcaster2l@spotify.com"/>
    <x v="2"/>
    <x v="1"/>
    <s v="L"/>
    <x v="1"/>
    <n v="8.91"/>
    <n v="35.64"/>
    <s v="Excelsa"/>
    <x v="1"/>
    <x v="0"/>
  </r>
  <r>
    <s v="ISL-11200-600"/>
    <x v="84"/>
    <s v="13654-85265-IL"/>
    <s v="A-D-0.2"/>
    <n v="6"/>
    <x v="87"/>
    <s v=""/>
    <x v="1"/>
    <x v="2"/>
    <s v="D"/>
    <x v="3"/>
    <n v="2.9849999999999999"/>
    <n v="17.91"/>
    <s v="Arabica"/>
    <x v="2"/>
    <x v="0"/>
  </r>
  <r>
    <s v="LBZ-75997-047"/>
    <x v="85"/>
    <s v="40946-22090-FP"/>
    <s v="A-M-2.5"/>
    <n v="6"/>
    <x v="88"/>
    <s v="nmagauran2n@51.la"/>
    <x v="0"/>
    <x v="2"/>
    <s v="M"/>
    <x v="2"/>
    <n v="25.874999999999996"/>
    <n v="155.24999999999997"/>
    <s v="Arabica"/>
    <x v="0"/>
    <x v="1"/>
  </r>
  <r>
    <s v="EUH-08089-954"/>
    <x v="86"/>
    <s v="29050-93691-TS"/>
    <s v="A-D-0.2"/>
    <n v="2"/>
    <x v="89"/>
    <s v="vkirdsch2o@google.fr"/>
    <x v="0"/>
    <x v="2"/>
    <s v="D"/>
    <x v="3"/>
    <n v="2.9849999999999999"/>
    <n v="5.97"/>
    <s v="Arabica"/>
    <x v="2"/>
    <x v="1"/>
  </r>
  <r>
    <s v="BLD-12227-251"/>
    <x v="87"/>
    <s v="64395-74865-WF"/>
    <s v="A-M-0.5"/>
    <n v="2"/>
    <x v="90"/>
    <s v="iwhapple2p@com.com"/>
    <x v="0"/>
    <x v="2"/>
    <s v="M"/>
    <x v="1"/>
    <n v="6.75"/>
    <n v="13.5"/>
    <s v="Arabica"/>
    <x v="0"/>
    <x v="1"/>
  </r>
  <r>
    <s v="OPY-30711-853"/>
    <x v="25"/>
    <s v="81861-66046-SU"/>
    <s v="A-D-0.2"/>
    <n v="1"/>
    <x v="91"/>
    <s v=""/>
    <x v="1"/>
    <x v="2"/>
    <s v="D"/>
    <x v="3"/>
    <n v="2.9849999999999999"/>
    <n v="2.9849999999999999"/>
    <s v="Arabica"/>
    <x v="2"/>
    <x v="1"/>
  </r>
  <r>
    <s v="DBC-44122-300"/>
    <x v="88"/>
    <s v="13366-78506-KP"/>
    <s v="L-M-0.2"/>
    <n v="3"/>
    <x v="92"/>
    <s v=""/>
    <x v="0"/>
    <x v="3"/>
    <s v="M"/>
    <x v="3"/>
    <n v="4.3650000000000002"/>
    <n v="13.095000000000001"/>
    <s v="Liberica"/>
    <x v="0"/>
    <x v="0"/>
  </r>
  <r>
    <s v="FJQ-60035-234"/>
    <x v="89"/>
    <s v="08847-29858-HN"/>
    <s v="A-L-0.2"/>
    <n v="2"/>
    <x v="93"/>
    <s v=""/>
    <x v="0"/>
    <x v="2"/>
    <s v="L"/>
    <x v="3"/>
    <n v="3.8849999999999998"/>
    <n v="7.77"/>
    <s v="Arabica"/>
    <x v="1"/>
    <x v="0"/>
  </r>
  <r>
    <s v="HSF-66926-425"/>
    <x v="90"/>
    <s v="00539-42510-RY"/>
    <s v="L-D-2.5"/>
    <n v="5"/>
    <x v="94"/>
    <s v="nyoules2t@reference.com"/>
    <x v="1"/>
    <x v="3"/>
    <s v="D"/>
    <x v="2"/>
    <n v="29.784999999999997"/>
    <n v="148.92499999999998"/>
    <s v="Liberica"/>
    <x v="2"/>
    <x v="0"/>
  </r>
  <r>
    <s v="LQG-41416-375"/>
    <x v="91"/>
    <s v="45190-08727-NV"/>
    <s v="L-D-1"/>
    <n v="3"/>
    <x v="95"/>
    <s v="daizikovitz2u@answers.com"/>
    <x v="1"/>
    <x v="3"/>
    <s v="D"/>
    <x v="0"/>
    <n v="12.95"/>
    <n v="38.849999999999994"/>
    <s v="Liberica"/>
    <x v="2"/>
    <x v="0"/>
  </r>
  <r>
    <s v="VZO-97265-841"/>
    <x v="92"/>
    <s v="87049-37901-FU"/>
    <s v="R-M-0.2"/>
    <n v="4"/>
    <x v="96"/>
    <s v="brevel2v@fastcompany.com"/>
    <x v="0"/>
    <x v="0"/>
    <s v="M"/>
    <x v="3"/>
    <n v="2.9849999999999999"/>
    <n v="11.94"/>
    <s v="Robusta"/>
    <x v="0"/>
    <x v="1"/>
  </r>
  <r>
    <s v="MOR-12987-399"/>
    <x v="93"/>
    <s v="34015-31593-JC"/>
    <s v="L-M-1"/>
    <n v="6"/>
    <x v="97"/>
    <s v="epriddis2w@nationalgeographic.com"/>
    <x v="0"/>
    <x v="3"/>
    <s v="M"/>
    <x v="0"/>
    <n v="14.55"/>
    <n v="87.300000000000011"/>
    <s v="Liberica"/>
    <x v="0"/>
    <x v="1"/>
  </r>
  <r>
    <s v="UOA-23786-489"/>
    <x v="94"/>
    <s v="90305-50099-SV"/>
    <s v="A-M-0.5"/>
    <n v="6"/>
    <x v="98"/>
    <s v="qveel2x@jugem.jp"/>
    <x v="0"/>
    <x v="2"/>
    <s v="M"/>
    <x v="1"/>
    <n v="6.75"/>
    <n v="40.5"/>
    <s v="Arabica"/>
    <x v="0"/>
    <x v="0"/>
  </r>
  <r>
    <s v="AJL-52941-018"/>
    <x v="95"/>
    <s v="55871-61935-MF"/>
    <s v="E-D-1"/>
    <n v="2"/>
    <x v="99"/>
    <s v="lconyers2y@twitter.com"/>
    <x v="0"/>
    <x v="1"/>
    <s v="D"/>
    <x v="0"/>
    <n v="12.15"/>
    <n v="24.3"/>
    <s v="Excelsa"/>
    <x v="2"/>
    <x v="1"/>
  </r>
  <r>
    <s v="XSZ-84273-421"/>
    <x v="96"/>
    <s v="15405-60469-TM"/>
    <s v="R-M-0.5"/>
    <n v="3"/>
    <x v="100"/>
    <s v="pwye2z@dagondesign.com"/>
    <x v="0"/>
    <x v="0"/>
    <s v="M"/>
    <x v="1"/>
    <n v="5.97"/>
    <n v="17.91"/>
    <s v="Robusta"/>
    <x v="0"/>
    <x v="0"/>
  </r>
  <r>
    <s v="NUN-48214-216"/>
    <x v="97"/>
    <s v="06953-94794-FB"/>
    <s v="A-M-0.5"/>
    <n v="4"/>
    <x v="101"/>
    <s v=""/>
    <x v="0"/>
    <x v="2"/>
    <s v="M"/>
    <x v="1"/>
    <n v="6.75"/>
    <n v="27"/>
    <s v="Arabica"/>
    <x v="0"/>
    <x v="1"/>
  </r>
  <r>
    <s v="AKV-93064-769"/>
    <x v="98"/>
    <s v="22305-40299-CY"/>
    <s v="L-D-0.5"/>
    <n v="1"/>
    <x v="102"/>
    <s v="tsheryn31@mtv.com"/>
    <x v="0"/>
    <x v="3"/>
    <s v="D"/>
    <x v="1"/>
    <n v="7.77"/>
    <n v="7.77"/>
    <s v="Liberica"/>
    <x v="2"/>
    <x v="0"/>
  </r>
  <r>
    <s v="BRB-40903-533"/>
    <x v="99"/>
    <s v="09020-56774-GU"/>
    <s v="E-L-0.2"/>
    <n v="3"/>
    <x v="103"/>
    <s v="mredgrave32@cargocollective.com"/>
    <x v="0"/>
    <x v="1"/>
    <s v="L"/>
    <x v="3"/>
    <n v="4.4550000000000001"/>
    <n v="13.365"/>
    <s v="Excelsa"/>
    <x v="1"/>
    <x v="0"/>
  </r>
  <r>
    <s v="GPR-19973-483"/>
    <x v="100"/>
    <s v="92926-08470-YS"/>
    <s v="R-D-0.5"/>
    <n v="5"/>
    <x v="104"/>
    <s v="bfominov33@yale.edu"/>
    <x v="0"/>
    <x v="0"/>
    <s v="D"/>
    <x v="1"/>
    <n v="5.3699999999999992"/>
    <n v="26.849999999999994"/>
    <s v="Robusta"/>
    <x v="2"/>
    <x v="1"/>
  </r>
  <r>
    <s v="XIY-43041-882"/>
    <x v="101"/>
    <s v="07250-63194-JO"/>
    <s v="A-M-1"/>
    <n v="1"/>
    <x v="105"/>
    <s v="scritchlow34@un.org"/>
    <x v="0"/>
    <x v="2"/>
    <s v="M"/>
    <x v="0"/>
    <n v="11.25"/>
    <n v="11.25"/>
    <s v="Arabica"/>
    <x v="0"/>
    <x v="1"/>
  </r>
  <r>
    <s v="YGY-98425-969"/>
    <x v="102"/>
    <s v="63787-96257-TQ"/>
    <s v="L-M-1"/>
    <n v="1"/>
    <x v="106"/>
    <s v="msteptow35@earthlink.net"/>
    <x v="1"/>
    <x v="3"/>
    <s v="M"/>
    <x v="0"/>
    <n v="14.55"/>
    <n v="14.55"/>
    <s v="Liberica"/>
    <x v="0"/>
    <x v="1"/>
  </r>
  <r>
    <s v="MSB-08397-648"/>
    <x v="103"/>
    <s v="49530-25460-RW"/>
    <s v="R-L-0.2"/>
    <n v="4"/>
    <x v="107"/>
    <s v=""/>
    <x v="0"/>
    <x v="0"/>
    <s v="L"/>
    <x v="3"/>
    <n v="3.5849999999999995"/>
    <n v="14.339999999999998"/>
    <s v="Robusta"/>
    <x v="1"/>
    <x v="1"/>
  </r>
  <r>
    <s v="WDR-06028-345"/>
    <x v="104"/>
    <s v="66508-21373-OQ"/>
    <s v="L-L-1"/>
    <n v="1"/>
    <x v="108"/>
    <s v="imulliner37@pinterest.com"/>
    <x v="2"/>
    <x v="3"/>
    <s v="L"/>
    <x v="0"/>
    <n v="15.85"/>
    <n v="15.85"/>
    <s v="Liberica"/>
    <x v="1"/>
    <x v="1"/>
  </r>
  <r>
    <s v="MXM-42948-061"/>
    <x v="105"/>
    <s v="20203-03950-FY"/>
    <s v="L-L-0.2"/>
    <n v="4"/>
    <x v="109"/>
    <s v="gstandley38@dion.ne.jp"/>
    <x v="1"/>
    <x v="3"/>
    <s v="L"/>
    <x v="3"/>
    <n v="4.7549999999999999"/>
    <n v="19.02"/>
    <s v="Liberica"/>
    <x v="1"/>
    <x v="0"/>
  </r>
  <r>
    <s v="MGQ-98961-173"/>
    <x v="11"/>
    <s v="83895-90735-XH"/>
    <s v="L-L-0.5"/>
    <n v="4"/>
    <x v="110"/>
    <s v="bdrage39@youku.com"/>
    <x v="0"/>
    <x v="3"/>
    <s v="L"/>
    <x v="1"/>
    <n v="9.51"/>
    <n v="38.04"/>
    <s v="Liberica"/>
    <x v="1"/>
    <x v="1"/>
  </r>
  <r>
    <s v="RFH-64349-897"/>
    <x v="106"/>
    <s v="61954-61462-RJ"/>
    <s v="E-D-0.5"/>
    <n v="3"/>
    <x v="111"/>
    <s v="myallop3a@fema.gov"/>
    <x v="0"/>
    <x v="1"/>
    <s v="D"/>
    <x v="1"/>
    <n v="7.29"/>
    <n v="21.87"/>
    <s v="Excelsa"/>
    <x v="2"/>
    <x v="0"/>
  </r>
  <r>
    <s v="TKL-20738-660"/>
    <x v="107"/>
    <s v="47939-53158-LS"/>
    <s v="E-M-0.2"/>
    <n v="1"/>
    <x v="112"/>
    <s v="cswitsur3b@chronoengine.com"/>
    <x v="0"/>
    <x v="1"/>
    <s v="M"/>
    <x v="3"/>
    <n v="4.125"/>
    <n v="4.125"/>
    <s v="Excelsa"/>
    <x v="0"/>
    <x v="1"/>
  </r>
  <r>
    <s v="TKL-20738-660"/>
    <x v="107"/>
    <s v="47939-53158-LS"/>
    <s v="A-L-0.2"/>
    <n v="1"/>
    <x v="112"/>
    <s v="cswitsur3b@chronoengine.com"/>
    <x v="0"/>
    <x v="2"/>
    <s v="L"/>
    <x v="3"/>
    <n v="3.8849999999999998"/>
    <n v="3.8849999999999998"/>
    <s v="Arabica"/>
    <x v="1"/>
    <x v="1"/>
  </r>
  <r>
    <s v="TKL-20738-660"/>
    <x v="107"/>
    <s v="47939-53158-LS"/>
    <s v="E-M-1"/>
    <n v="5"/>
    <x v="112"/>
    <s v="cswitsur3b@chronoengine.com"/>
    <x v="0"/>
    <x v="1"/>
    <s v="M"/>
    <x v="0"/>
    <n v="13.75"/>
    <n v="68.75"/>
    <s v="Excelsa"/>
    <x v="0"/>
    <x v="1"/>
  </r>
  <r>
    <s v="GOW-03198-575"/>
    <x v="108"/>
    <s v="61513-27752-FA"/>
    <s v="A-D-0.5"/>
    <n v="4"/>
    <x v="113"/>
    <s v="mludwell3e@blogger.com"/>
    <x v="0"/>
    <x v="2"/>
    <s v="D"/>
    <x v="1"/>
    <n v="5.97"/>
    <n v="23.88"/>
    <s v="Arabica"/>
    <x v="2"/>
    <x v="0"/>
  </r>
  <r>
    <s v="QJB-90477-635"/>
    <x v="109"/>
    <s v="89714-19856-WX"/>
    <s v="L-L-2.5"/>
    <n v="4"/>
    <x v="114"/>
    <s v="dbeauchamp3f@usda.gov"/>
    <x v="0"/>
    <x v="3"/>
    <s v="L"/>
    <x v="2"/>
    <n v="36.454999999999998"/>
    <n v="145.82"/>
    <s v="Liberica"/>
    <x v="1"/>
    <x v="1"/>
  </r>
  <r>
    <s v="MWP-46239-785"/>
    <x v="110"/>
    <s v="87979-56781-YV"/>
    <s v="L-M-0.2"/>
    <n v="5"/>
    <x v="115"/>
    <s v="srodliff3g@ted.com"/>
    <x v="0"/>
    <x v="3"/>
    <s v="M"/>
    <x v="3"/>
    <n v="4.3650000000000002"/>
    <n v="21.825000000000003"/>
    <s v="Liberica"/>
    <x v="0"/>
    <x v="0"/>
  </r>
  <r>
    <s v="QDV-03406-248"/>
    <x v="111"/>
    <s v="74126-88836-KA"/>
    <s v="L-M-0.5"/>
    <n v="3"/>
    <x v="116"/>
    <s v="swoodham3h@businesswire.com"/>
    <x v="1"/>
    <x v="3"/>
    <s v="M"/>
    <x v="1"/>
    <n v="8.73"/>
    <n v="26.19"/>
    <s v="Liberica"/>
    <x v="0"/>
    <x v="0"/>
  </r>
  <r>
    <s v="GPH-40635-105"/>
    <x v="112"/>
    <s v="37397-05992-VO"/>
    <s v="A-M-1"/>
    <n v="1"/>
    <x v="117"/>
    <s v="hsynnot3i@about.com"/>
    <x v="0"/>
    <x v="2"/>
    <s v="M"/>
    <x v="0"/>
    <n v="11.25"/>
    <n v="11.25"/>
    <s v="Arabica"/>
    <x v="0"/>
    <x v="1"/>
  </r>
  <r>
    <s v="JOM-80930-071"/>
    <x v="113"/>
    <s v="54904-18397-UD"/>
    <s v="L-D-1"/>
    <n v="6"/>
    <x v="118"/>
    <s v="rlepere3j@shop-pro.jp"/>
    <x v="1"/>
    <x v="3"/>
    <s v="D"/>
    <x v="0"/>
    <n v="12.95"/>
    <n v="77.699999999999989"/>
    <s v="Liberica"/>
    <x v="2"/>
    <x v="1"/>
  </r>
  <r>
    <s v="OIL-26493-755"/>
    <x v="114"/>
    <s v="19017-95853-EK"/>
    <s v="A-M-0.5"/>
    <n v="1"/>
    <x v="119"/>
    <s v="twoofinden3k@businesswire.com"/>
    <x v="0"/>
    <x v="2"/>
    <s v="M"/>
    <x v="1"/>
    <n v="6.75"/>
    <n v="6.75"/>
    <s v="Arabica"/>
    <x v="0"/>
    <x v="1"/>
  </r>
  <r>
    <s v="CYV-13426-645"/>
    <x v="115"/>
    <s v="88593-59934-VU"/>
    <s v="E-D-1"/>
    <n v="1"/>
    <x v="120"/>
    <s v="edacca3l@google.pl"/>
    <x v="0"/>
    <x v="1"/>
    <s v="D"/>
    <x v="0"/>
    <n v="12.15"/>
    <n v="12.15"/>
    <s v="Excelsa"/>
    <x v="2"/>
    <x v="0"/>
  </r>
  <r>
    <s v="WRP-39846-614"/>
    <x v="49"/>
    <s v="47493-68564-YM"/>
    <s v="A-L-2.5"/>
    <n v="5"/>
    <x v="121"/>
    <s v=""/>
    <x v="1"/>
    <x v="2"/>
    <s v="L"/>
    <x v="2"/>
    <n v="29.784999999999997"/>
    <n v="148.92499999999998"/>
    <s v="Arabica"/>
    <x v="1"/>
    <x v="0"/>
  </r>
  <r>
    <s v="VDZ-76673-968"/>
    <x v="116"/>
    <s v="82246-82543-DW"/>
    <s v="E-D-0.5"/>
    <n v="2"/>
    <x v="122"/>
    <s v="bhindsberg3n@blogs.com"/>
    <x v="0"/>
    <x v="1"/>
    <s v="D"/>
    <x v="1"/>
    <n v="7.29"/>
    <n v="14.58"/>
    <s v="Excelsa"/>
    <x v="2"/>
    <x v="0"/>
  </r>
  <r>
    <s v="VTV-03546-175"/>
    <x v="117"/>
    <s v="03384-62101-IY"/>
    <s v="A-L-2.5"/>
    <n v="5"/>
    <x v="123"/>
    <s v="orobins3o@salon.com"/>
    <x v="0"/>
    <x v="2"/>
    <s v="L"/>
    <x v="2"/>
    <n v="29.784999999999997"/>
    <n v="148.92499999999998"/>
    <s v="Arabica"/>
    <x v="1"/>
    <x v="0"/>
  </r>
  <r>
    <s v="GHR-72274-715"/>
    <x v="118"/>
    <s v="86881-41559-OR"/>
    <s v="L-D-1"/>
    <n v="1"/>
    <x v="124"/>
    <s v="osyseland3p@independent.co.uk"/>
    <x v="0"/>
    <x v="3"/>
    <s v="D"/>
    <x v="0"/>
    <n v="12.95"/>
    <n v="12.95"/>
    <s v="Liberica"/>
    <x v="2"/>
    <x v="1"/>
  </r>
  <r>
    <s v="ZGK-97262-313"/>
    <x v="119"/>
    <s v="02536-18494-AQ"/>
    <s v="E-M-2.5"/>
    <n v="3"/>
    <x v="125"/>
    <s v=""/>
    <x v="0"/>
    <x v="1"/>
    <s v="M"/>
    <x v="2"/>
    <n v="31.624999999999996"/>
    <n v="94.874999999999986"/>
    <s v="Excelsa"/>
    <x v="0"/>
    <x v="0"/>
  </r>
  <r>
    <s v="ZFS-30776-804"/>
    <x v="120"/>
    <s v="58638-01029-CB"/>
    <s v="A-L-0.5"/>
    <n v="5"/>
    <x v="126"/>
    <s v="bmcamish2e@tripadvisor.com"/>
    <x v="0"/>
    <x v="2"/>
    <s v="L"/>
    <x v="1"/>
    <n v="7.77"/>
    <n v="38.849999999999994"/>
    <s v="Arabica"/>
    <x v="1"/>
    <x v="0"/>
  </r>
  <r>
    <s v="QUU-91729-492"/>
    <x v="121"/>
    <s v="90312-11148-LA"/>
    <s v="A-D-0.2"/>
    <n v="4"/>
    <x v="127"/>
    <s v="lkeenleyside3s@topsy.com"/>
    <x v="0"/>
    <x v="2"/>
    <s v="D"/>
    <x v="3"/>
    <n v="2.9849999999999999"/>
    <n v="11.94"/>
    <s v="Arabica"/>
    <x v="2"/>
    <x v="1"/>
  </r>
  <r>
    <s v="PVI-72795-960"/>
    <x v="122"/>
    <s v="68239-74809-TF"/>
    <s v="E-L-2.5"/>
    <n v="3"/>
    <x v="128"/>
    <s v=""/>
    <x v="1"/>
    <x v="1"/>
    <s v="L"/>
    <x v="2"/>
    <n v="34.154999999999994"/>
    <n v="102.46499999999997"/>
    <s v="Excelsa"/>
    <x v="1"/>
    <x v="1"/>
  </r>
  <r>
    <s v="PPP-78935-365"/>
    <x v="123"/>
    <s v="91074-60023-IP"/>
    <s v="E-D-1"/>
    <n v="4"/>
    <x v="129"/>
    <s v=""/>
    <x v="0"/>
    <x v="1"/>
    <s v="D"/>
    <x v="0"/>
    <n v="12.15"/>
    <n v="48.6"/>
    <s v="Excelsa"/>
    <x v="2"/>
    <x v="1"/>
  </r>
  <r>
    <s v="JUO-34131-517"/>
    <x v="124"/>
    <s v="07972-83748-JI"/>
    <s v="L-D-1"/>
    <n v="6"/>
    <x v="130"/>
    <s v=""/>
    <x v="0"/>
    <x v="3"/>
    <s v="D"/>
    <x v="0"/>
    <n v="12.95"/>
    <n v="77.699999999999989"/>
    <s v="Liberica"/>
    <x v="2"/>
    <x v="0"/>
  </r>
  <r>
    <s v="ZJE-89333-489"/>
    <x v="125"/>
    <s v="08694-57330-XR"/>
    <s v="L-D-2.5"/>
    <n v="1"/>
    <x v="131"/>
    <s v="vkundt3w@bigcartel.com"/>
    <x v="1"/>
    <x v="3"/>
    <s v="D"/>
    <x v="2"/>
    <n v="29.784999999999997"/>
    <n v="29.784999999999997"/>
    <s v="Liberica"/>
    <x v="2"/>
    <x v="0"/>
  </r>
  <r>
    <s v="LOO-35324-159"/>
    <x v="126"/>
    <s v="68412-11126-YJ"/>
    <s v="A-L-0.2"/>
    <n v="4"/>
    <x v="132"/>
    <s v="bbett3x@google.de"/>
    <x v="0"/>
    <x v="2"/>
    <s v="L"/>
    <x v="3"/>
    <n v="3.8849999999999998"/>
    <n v="15.54"/>
    <s v="Arabica"/>
    <x v="1"/>
    <x v="0"/>
  </r>
  <r>
    <s v="JBQ-93412-846"/>
    <x v="127"/>
    <s v="69037-66822-DW"/>
    <s v="E-L-2.5"/>
    <n v="4"/>
    <x v="133"/>
    <s v=""/>
    <x v="1"/>
    <x v="1"/>
    <s v="L"/>
    <x v="2"/>
    <n v="34.154999999999994"/>
    <n v="136.61999999999998"/>
    <s v="Excelsa"/>
    <x v="1"/>
    <x v="0"/>
  </r>
  <r>
    <s v="EHX-66333-637"/>
    <x v="128"/>
    <s v="01297-94364-XH"/>
    <s v="L-M-0.5"/>
    <n v="2"/>
    <x v="134"/>
    <s v="dstaite3z@scientificamerican.com"/>
    <x v="0"/>
    <x v="3"/>
    <s v="M"/>
    <x v="1"/>
    <n v="8.73"/>
    <n v="17.46"/>
    <s v="Liberica"/>
    <x v="0"/>
    <x v="1"/>
  </r>
  <r>
    <s v="WXG-25759-236"/>
    <x v="103"/>
    <s v="39919-06540-ZI"/>
    <s v="E-L-2.5"/>
    <n v="2"/>
    <x v="135"/>
    <s v="wkeyse40@apple.com"/>
    <x v="0"/>
    <x v="1"/>
    <s v="L"/>
    <x v="2"/>
    <n v="34.154999999999994"/>
    <n v="68.309999999999988"/>
    <s v="Excelsa"/>
    <x v="1"/>
    <x v="0"/>
  </r>
  <r>
    <s v="QNA-31113-984"/>
    <x v="129"/>
    <s v="60512-78550-WS"/>
    <s v="L-M-0.2"/>
    <n v="4"/>
    <x v="136"/>
    <s v="oclausenthue41@marriott.com"/>
    <x v="0"/>
    <x v="3"/>
    <s v="M"/>
    <x v="3"/>
    <n v="4.3650000000000002"/>
    <n v="17.46"/>
    <s v="Liberica"/>
    <x v="0"/>
    <x v="1"/>
  </r>
  <r>
    <s v="ZWI-52029-159"/>
    <x v="130"/>
    <s v="40172-12000-AU"/>
    <s v="L-M-1"/>
    <n v="3"/>
    <x v="137"/>
    <s v="lfrancisco42@fema.gov"/>
    <x v="0"/>
    <x v="3"/>
    <s v="M"/>
    <x v="0"/>
    <n v="14.55"/>
    <n v="43.650000000000006"/>
    <s v="Liberica"/>
    <x v="0"/>
    <x v="1"/>
  </r>
  <r>
    <s v="ZWI-52029-159"/>
    <x v="130"/>
    <s v="40172-12000-AU"/>
    <s v="E-M-1"/>
    <n v="2"/>
    <x v="137"/>
    <s v="lfrancisco42@fema.gov"/>
    <x v="0"/>
    <x v="1"/>
    <s v="M"/>
    <x v="0"/>
    <n v="13.75"/>
    <n v="27.5"/>
    <s v="Excelsa"/>
    <x v="0"/>
    <x v="1"/>
  </r>
  <r>
    <s v="DFS-49954-707"/>
    <x v="131"/>
    <s v="39019-13649-CL"/>
    <s v="E-D-0.2"/>
    <n v="5"/>
    <x v="138"/>
    <s v="gskingle44@clickbank.net"/>
    <x v="0"/>
    <x v="1"/>
    <s v="D"/>
    <x v="3"/>
    <n v="3.645"/>
    <n v="18.225000000000001"/>
    <s v="Excelsa"/>
    <x v="2"/>
    <x v="0"/>
  </r>
  <r>
    <s v="VYP-89830-878"/>
    <x v="132"/>
    <s v="12715-05198-QU"/>
    <s v="A-M-2.5"/>
    <n v="2"/>
    <x v="139"/>
    <s v=""/>
    <x v="0"/>
    <x v="2"/>
    <s v="M"/>
    <x v="2"/>
    <n v="25.874999999999996"/>
    <n v="51.749999999999993"/>
    <s v="Arabica"/>
    <x v="0"/>
    <x v="0"/>
  </r>
  <r>
    <s v="AMT-40418-362"/>
    <x v="133"/>
    <s v="04513-76520-QO"/>
    <s v="L-D-1"/>
    <n v="1"/>
    <x v="140"/>
    <s v="jbalsillie46@princeton.edu"/>
    <x v="0"/>
    <x v="3"/>
    <s v="D"/>
    <x v="0"/>
    <n v="12.95"/>
    <n v="12.95"/>
    <s v="Liberica"/>
    <x v="2"/>
    <x v="0"/>
  </r>
  <r>
    <s v="NFQ-23241-793"/>
    <x v="134"/>
    <s v="88446-59251-SQ"/>
    <s v="A-M-1"/>
    <n v="3"/>
    <x v="141"/>
    <s v=""/>
    <x v="0"/>
    <x v="2"/>
    <s v="M"/>
    <x v="0"/>
    <n v="11.25"/>
    <n v="33.75"/>
    <s v="Arabica"/>
    <x v="0"/>
    <x v="0"/>
  </r>
  <r>
    <s v="JQK-64922-985"/>
    <x v="113"/>
    <s v="23779-10274-KN"/>
    <s v="R-M-2.5"/>
    <n v="3"/>
    <x v="142"/>
    <s v="bleffek48@ning.com"/>
    <x v="0"/>
    <x v="0"/>
    <s v="M"/>
    <x v="2"/>
    <n v="22.884999999999998"/>
    <n v="68.655000000000001"/>
    <s v="Robusta"/>
    <x v="0"/>
    <x v="0"/>
  </r>
  <r>
    <s v="YET-17732-678"/>
    <x v="135"/>
    <s v="57235-92842-DK"/>
    <s v="R-D-0.2"/>
    <n v="1"/>
    <x v="143"/>
    <s v=""/>
    <x v="0"/>
    <x v="0"/>
    <s v="D"/>
    <x v="3"/>
    <n v="2.6849999999999996"/>
    <n v="2.6849999999999996"/>
    <s v="Robusta"/>
    <x v="2"/>
    <x v="1"/>
  </r>
  <r>
    <s v="NKW-24945-846"/>
    <x v="35"/>
    <s v="75977-30364-AY"/>
    <s v="A-D-2.5"/>
    <n v="5"/>
    <x v="144"/>
    <s v="jpray4a@youtube.com"/>
    <x v="0"/>
    <x v="2"/>
    <s v="D"/>
    <x v="2"/>
    <n v="22.884999999999998"/>
    <n v="114.42499999999998"/>
    <s v="Arabica"/>
    <x v="2"/>
    <x v="1"/>
  </r>
  <r>
    <s v="VKA-82720-513"/>
    <x v="136"/>
    <s v="12299-30914-NG"/>
    <s v="A-M-2.5"/>
    <n v="6"/>
    <x v="145"/>
    <s v="gholborn4b@ow.ly"/>
    <x v="0"/>
    <x v="2"/>
    <s v="M"/>
    <x v="2"/>
    <n v="25.874999999999996"/>
    <n v="155.24999999999997"/>
    <s v="Arabica"/>
    <x v="0"/>
    <x v="0"/>
  </r>
  <r>
    <s v="THA-60599-417"/>
    <x v="137"/>
    <s v="59971-35626-YJ"/>
    <s v="A-M-2.5"/>
    <n v="3"/>
    <x v="146"/>
    <s v="fkeinrat4c@dailymail.co.uk"/>
    <x v="0"/>
    <x v="2"/>
    <s v="M"/>
    <x v="2"/>
    <n v="25.874999999999996"/>
    <n v="77.624999999999986"/>
    <s v="Arabica"/>
    <x v="0"/>
    <x v="0"/>
  </r>
  <r>
    <s v="MEK-39769-035"/>
    <x v="138"/>
    <s v="15380-76513-PS"/>
    <s v="R-D-2.5"/>
    <n v="3"/>
    <x v="147"/>
    <s v="pyea4d@aol.com"/>
    <x v="1"/>
    <x v="0"/>
    <s v="D"/>
    <x v="2"/>
    <n v="20.584999999999997"/>
    <n v="61.754999999999995"/>
    <s v="Robusta"/>
    <x v="2"/>
    <x v="1"/>
  </r>
  <r>
    <s v="JAF-18294-750"/>
    <x v="139"/>
    <s v="73564-98204-EY"/>
    <s v="R-D-2.5"/>
    <n v="6"/>
    <x v="148"/>
    <s v=""/>
    <x v="0"/>
    <x v="0"/>
    <s v="D"/>
    <x v="2"/>
    <n v="20.584999999999997"/>
    <n v="123.50999999999999"/>
    <s v="Robusta"/>
    <x v="2"/>
    <x v="0"/>
  </r>
  <r>
    <s v="TME-59627-221"/>
    <x v="140"/>
    <s v="72282-40594-RX"/>
    <s v="L-L-2.5"/>
    <n v="6"/>
    <x v="149"/>
    <s v=""/>
    <x v="0"/>
    <x v="3"/>
    <s v="L"/>
    <x v="2"/>
    <n v="36.454999999999998"/>
    <n v="218.73"/>
    <s v="Liberica"/>
    <x v="1"/>
    <x v="1"/>
  </r>
  <r>
    <s v="UDG-65353-824"/>
    <x v="141"/>
    <s v="17514-94165-RJ"/>
    <s v="E-M-0.5"/>
    <n v="4"/>
    <x v="150"/>
    <s v="kswede4g@addthis.com"/>
    <x v="0"/>
    <x v="1"/>
    <s v="M"/>
    <x v="1"/>
    <n v="8.25"/>
    <n v="33"/>
    <s v="Excelsa"/>
    <x v="0"/>
    <x v="1"/>
  </r>
  <r>
    <s v="ENQ-42923-176"/>
    <x v="142"/>
    <s v="56248-75861-JX"/>
    <s v="A-L-0.5"/>
    <n v="3"/>
    <x v="151"/>
    <s v="lrubrow4h@microsoft.com"/>
    <x v="0"/>
    <x v="2"/>
    <s v="L"/>
    <x v="1"/>
    <n v="7.77"/>
    <n v="23.31"/>
    <s v="Arabica"/>
    <x v="1"/>
    <x v="1"/>
  </r>
  <r>
    <s v="CBT-55781-720"/>
    <x v="143"/>
    <s v="97855-54761-IS"/>
    <s v="E-D-0.5"/>
    <n v="3"/>
    <x v="152"/>
    <s v="dtift4i@netvibes.com"/>
    <x v="0"/>
    <x v="1"/>
    <s v="D"/>
    <x v="1"/>
    <n v="7.29"/>
    <n v="21.87"/>
    <s v="Excelsa"/>
    <x v="2"/>
    <x v="0"/>
  </r>
  <r>
    <s v="NEU-86533-016"/>
    <x v="144"/>
    <s v="96544-91644-IT"/>
    <s v="R-D-0.2"/>
    <n v="6"/>
    <x v="153"/>
    <s v="gschonfeld4j@oracle.com"/>
    <x v="0"/>
    <x v="0"/>
    <s v="D"/>
    <x v="3"/>
    <n v="2.6849999999999996"/>
    <n v="16.11"/>
    <s v="Robusta"/>
    <x v="2"/>
    <x v="1"/>
  </r>
  <r>
    <s v="BYU-58154-603"/>
    <x v="145"/>
    <s v="51971-70393-QM"/>
    <s v="E-D-0.5"/>
    <n v="4"/>
    <x v="154"/>
    <s v="cfeye4k@google.co.jp"/>
    <x v="1"/>
    <x v="1"/>
    <s v="D"/>
    <x v="1"/>
    <n v="7.29"/>
    <n v="29.16"/>
    <s v="Excelsa"/>
    <x v="2"/>
    <x v="1"/>
  </r>
  <r>
    <s v="EHJ-05910-257"/>
    <x v="146"/>
    <s v="06812-11924-IK"/>
    <s v="R-D-1"/>
    <n v="6"/>
    <x v="155"/>
    <s v=""/>
    <x v="0"/>
    <x v="0"/>
    <s v="D"/>
    <x v="0"/>
    <n v="8.9499999999999993"/>
    <n v="53.699999999999996"/>
    <s v="Robusta"/>
    <x v="2"/>
    <x v="0"/>
  </r>
  <r>
    <s v="EIL-44855-309"/>
    <x v="147"/>
    <s v="59741-90220-OW"/>
    <s v="R-D-0.5"/>
    <n v="5"/>
    <x v="156"/>
    <s v=""/>
    <x v="0"/>
    <x v="0"/>
    <s v="D"/>
    <x v="1"/>
    <n v="5.3699999999999992"/>
    <n v="26.849999999999994"/>
    <s v="Robusta"/>
    <x v="2"/>
    <x v="0"/>
  </r>
  <r>
    <s v="HCA-87224-420"/>
    <x v="148"/>
    <s v="62682-27930-PD"/>
    <s v="E-M-0.5"/>
    <n v="5"/>
    <x v="157"/>
    <s v="tfero4n@comsenz.com"/>
    <x v="0"/>
    <x v="1"/>
    <s v="M"/>
    <x v="1"/>
    <n v="8.25"/>
    <n v="41.25"/>
    <s v="Excelsa"/>
    <x v="0"/>
    <x v="0"/>
  </r>
  <r>
    <s v="ABO-29054-365"/>
    <x v="149"/>
    <s v="00256-19905-YG"/>
    <s v="A-M-0.5"/>
    <n v="6"/>
    <x v="158"/>
    <s v=""/>
    <x v="1"/>
    <x v="2"/>
    <s v="M"/>
    <x v="1"/>
    <n v="6.75"/>
    <n v="40.5"/>
    <s v="Arabica"/>
    <x v="0"/>
    <x v="1"/>
  </r>
  <r>
    <s v="TKN-58485-031"/>
    <x v="150"/>
    <s v="38890-22576-UI"/>
    <s v="R-D-1"/>
    <n v="2"/>
    <x v="159"/>
    <s v="fdauney4p@sphinn.com"/>
    <x v="1"/>
    <x v="0"/>
    <s v="D"/>
    <x v="0"/>
    <n v="8.9499999999999993"/>
    <n v="17.899999999999999"/>
    <s v="Robusta"/>
    <x v="2"/>
    <x v="1"/>
  </r>
  <r>
    <s v="RCK-04069-371"/>
    <x v="151"/>
    <s v="94573-61802-PH"/>
    <s v="E-L-2.5"/>
    <n v="2"/>
    <x v="160"/>
    <s v="searley4q@youku.com"/>
    <x v="2"/>
    <x v="1"/>
    <s v="L"/>
    <x v="2"/>
    <n v="34.154999999999994"/>
    <n v="68.309999999999988"/>
    <s v="Excelsa"/>
    <x v="1"/>
    <x v="1"/>
  </r>
  <r>
    <s v="IRJ-67095-738"/>
    <x v="13"/>
    <s v="86447-02699-UT"/>
    <s v="E-M-2.5"/>
    <n v="2"/>
    <x v="161"/>
    <s v="mchamberlayne4r@bigcartel.com"/>
    <x v="0"/>
    <x v="1"/>
    <s v="M"/>
    <x v="2"/>
    <n v="31.624999999999996"/>
    <n v="63.249999999999993"/>
    <s v="Excelsa"/>
    <x v="0"/>
    <x v="0"/>
  </r>
  <r>
    <s v="VEA-31961-977"/>
    <x v="79"/>
    <s v="51432-27169-KN"/>
    <s v="E-D-0.5"/>
    <n v="3"/>
    <x v="162"/>
    <s v="bflaherty4s@moonfruit.com"/>
    <x v="1"/>
    <x v="1"/>
    <s v="D"/>
    <x v="1"/>
    <n v="7.29"/>
    <n v="21.87"/>
    <s v="Excelsa"/>
    <x v="2"/>
    <x v="1"/>
  </r>
  <r>
    <s v="BAF-42286-205"/>
    <x v="152"/>
    <s v="43074-00987-PB"/>
    <s v="R-M-2.5"/>
    <n v="4"/>
    <x v="163"/>
    <s v="ocolbeck4t@sina.com.cn"/>
    <x v="0"/>
    <x v="0"/>
    <s v="M"/>
    <x v="2"/>
    <n v="22.884999999999998"/>
    <n v="91.539999999999992"/>
    <s v="Robusta"/>
    <x v="0"/>
    <x v="1"/>
  </r>
  <r>
    <s v="WOR-52762-511"/>
    <x v="153"/>
    <s v="04739-85772-QT"/>
    <s v="E-L-2.5"/>
    <n v="6"/>
    <x v="164"/>
    <s v=""/>
    <x v="0"/>
    <x v="1"/>
    <s v="L"/>
    <x v="2"/>
    <n v="34.154999999999994"/>
    <n v="204.92999999999995"/>
    <s v="Excelsa"/>
    <x v="1"/>
    <x v="0"/>
  </r>
  <r>
    <s v="ZWK-03995-815"/>
    <x v="154"/>
    <s v="28279-78469-YW"/>
    <s v="E-M-2.5"/>
    <n v="2"/>
    <x v="165"/>
    <s v="ehobbing4v@nsw.gov.au"/>
    <x v="0"/>
    <x v="1"/>
    <s v="M"/>
    <x v="2"/>
    <n v="31.624999999999996"/>
    <n v="63.249999999999993"/>
    <s v="Excelsa"/>
    <x v="0"/>
    <x v="0"/>
  </r>
  <r>
    <s v="CKF-43291-846"/>
    <x v="155"/>
    <s v="91829-99544-DS"/>
    <s v="E-L-2.5"/>
    <n v="1"/>
    <x v="166"/>
    <s v="othynne4w@auda.org.au"/>
    <x v="0"/>
    <x v="1"/>
    <s v="L"/>
    <x v="2"/>
    <n v="34.154999999999994"/>
    <n v="34.154999999999994"/>
    <s v="Excelsa"/>
    <x v="1"/>
    <x v="0"/>
  </r>
  <r>
    <s v="RMW-74160-339"/>
    <x v="156"/>
    <s v="38978-59582-JP"/>
    <s v="R-L-2.5"/>
    <n v="4"/>
    <x v="167"/>
    <s v="eheining4x@flickr.com"/>
    <x v="0"/>
    <x v="0"/>
    <s v="L"/>
    <x v="2"/>
    <n v="27.484999999999996"/>
    <n v="109.93999999999998"/>
    <s v="Robusta"/>
    <x v="1"/>
    <x v="0"/>
  </r>
  <r>
    <s v="FMT-94584-786"/>
    <x v="22"/>
    <s v="86504-96610-BH"/>
    <s v="A-L-1"/>
    <n v="2"/>
    <x v="168"/>
    <s v="kmelloi4y@imdb.com"/>
    <x v="0"/>
    <x v="2"/>
    <s v="L"/>
    <x v="0"/>
    <n v="12.95"/>
    <n v="25.9"/>
    <s v="Arabica"/>
    <x v="1"/>
    <x v="1"/>
  </r>
  <r>
    <s v="NWT-78222-575"/>
    <x v="157"/>
    <s v="75986-98864-EZ"/>
    <s v="A-D-0.2"/>
    <n v="1"/>
    <x v="169"/>
    <s v=""/>
    <x v="1"/>
    <x v="2"/>
    <s v="D"/>
    <x v="3"/>
    <n v="2.9849999999999999"/>
    <n v="2.9849999999999999"/>
    <s v="Arabica"/>
    <x v="2"/>
    <x v="1"/>
  </r>
  <r>
    <s v="EOI-02511-919"/>
    <x v="158"/>
    <s v="66776-88682-RG"/>
    <s v="E-L-0.2"/>
    <n v="5"/>
    <x v="170"/>
    <s v="amussen50@51.la"/>
    <x v="0"/>
    <x v="1"/>
    <s v="L"/>
    <x v="3"/>
    <n v="4.4550000000000001"/>
    <n v="22.274999999999999"/>
    <s v="Excelsa"/>
    <x v="1"/>
    <x v="1"/>
  </r>
  <r>
    <s v="EOI-02511-919"/>
    <x v="158"/>
    <s v="66776-88682-RG"/>
    <s v="A-D-0.5"/>
    <n v="5"/>
    <x v="170"/>
    <s v="amussen50@51.la"/>
    <x v="0"/>
    <x v="2"/>
    <s v="D"/>
    <x v="1"/>
    <n v="5.97"/>
    <n v="29.849999999999998"/>
    <s v="Arabica"/>
    <x v="2"/>
    <x v="1"/>
  </r>
  <r>
    <s v="UCT-03935-589"/>
    <x v="78"/>
    <s v="85851-78384-DM"/>
    <s v="R-D-0.5"/>
    <n v="6"/>
    <x v="171"/>
    <s v="amundford52@nbcnews.com"/>
    <x v="0"/>
    <x v="0"/>
    <s v="D"/>
    <x v="1"/>
    <n v="5.3699999999999992"/>
    <n v="32.22"/>
    <s v="Robusta"/>
    <x v="2"/>
    <x v="1"/>
  </r>
  <r>
    <s v="SBI-60013-494"/>
    <x v="159"/>
    <s v="55232-81621-BX"/>
    <s v="E-M-0.2"/>
    <n v="2"/>
    <x v="172"/>
    <s v="twalas53@google.ca"/>
    <x v="0"/>
    <x v="1"/>
    <s v="M"/>
    <x v="3"/>
    <n v="4.125"/>
    <n v="8.25"/>
    <s v="Excelsa"/>
    <x v="0"/>
    <x v="1"/>
  </r>
  <r>
    <s v="QRA-73277-814"/>
    <x v="160"/>
    <s v="80310-92912-JA"/>
    <s v="A-L-0.5"/>
    <n v="4"/>
    <x v="173"/>
    <s v="iblazewicz54@thetimes.co.uk"/>
    <x v="0"/>
    <x v="2"/>
    <s v="L"/>
    <x v="1"/>
    <n v="7.77"/>
    <n v="31.08"/>
    <s v="Arabica"/>
    <x v="1"/>
    <x v="1"/>
  </r>
  <r>
    <s v="EQE-31648-909"/>
    <x v="161"/>
    <s v="19821-05175-WZ"/>
    <s v="E-D-0.5"/>
    <n v="5"/>
    <x v="174"/>
    <s v="arizzetti55@naver.com"/>
    <x v="0"/>
    <x v="1"/>
    <s v="D"/>
    <x v="1"/>
    <n v="7.29"/>
    <n v="36.450000000000003"/>
    <s v="Excelsa"/>
    <x v="2"/>
    <x v="0"/>
  </r>
  <r>
    <s v="QOO-24615-950"/>
    <x v="162"/>
    <s v="01338-83217-GV"/>
    <s v="R-M-2.5"/>
    <n v="3"/>
    <x v="175"/>
    <s v="mmeriet56@noaa.gov"/>
    <x v="0"/>
    <x v="0"/>
    <s v="M"/>
    <x v="2"/>
    <n v="22.884999999999998"/>
    <n v="68.655000000000001"/>
    <s v="Robusta"/>
    <x v="0"/>
    <x v="1"/>
  </r>
  <r>
    <s v="WDV-73864-037"/>
    <x v="70"/>
    <s v="66044-25298-TA"/>
    <s v="L-M-0.5"/>
    <n v="5"/>
    <x v="176"/>
    <s v="lpratt57@netvibes.com"/>
    <x v="0"/>
    <x v="3"/>
    <s v="M"/>
    <x v="1"/>
    <n v="8.73"/>
    <n v="43.650000000000006"/>
    <s v="Liberica"/>
    <x v="0"/>
    <x v="0"/>
  </r>
  <r>
    <s v="PKR-88575-066"/>
    <x v="163"/>
    <s v="28728-47861-TZ"/>
    <s v="E-L-0.2"/>
    <n v="1"/>
    <x v="177"/>
    <s v="akitchingham58@com.com"/>
    <x v="0"/>
    <x v="1"/>
    <s v="L"/>
    <x v="3"/>
    <n v="4.4550000000000001"/>
    <n v="4.4550000000000001"/>
    <s v="Excelsa"/>
    <x v="1"/>
    <x v="0"/>
  </r>
  <r>
    <s v="BWR-85735-955"/>
    <x v="153"/>
    <s v="32638-38620-AX"/>
    <s v="L-M-1"/>
    <n v="3"/>
    <x v="178"/>
    <s v="bbartholin59@xinhuanet.com"/>
    <x v="0"/>
    <x v="3"/>
    <s v="M"/>
    <x v="0"/>
    <n v="14.55"/>
    <n v="43.650000000000006"/>
    <s v="Liberica"/>
    <x v="0"/>
    <x v="0"/>
  </r>
  <r>
    <s v="YFX-64795-136"/>
    <x v="164"/>
    <s v="83163-65741-IH"/>
    <s v="L-M-2.5"/>
    <n v="1"/>
    <x v="179"/>
    <s v="mprinn5a@usa.gov"/>
    <x v="0"/>
    <x v="3"/>
    <s v="M"/>
    <x v="2"/>
    <n v="33.464999999999996"/>
    <n v="33.464999999999996"/>
    <s v="Liberica"/>
    <x v="0"/>
    <x v="0"/>
  </r>
  <r>
    <s v="DDO-71442-967"/>
    <x v="165"/>
    <s v="89422-58281-FD"/>
    <s v="L-D-0.2"/>
    <n v="5"/>
    <x v="180"/>
    <s v="abaudino5b@netvibes.com"/>
    <x v="0"/>
    <x v="3"/>
    <s v="D"/>
    <x v="3"/>
    <n v="3.8849999999999998"/>
    <n v="19.424999999999997"/>
    <s v="Liberica"/>
    <x v="2"/>
    <x v="0"/>
  </r>
  <r>
    <s v="ILQ-11027-588"/>
    <x v="166"/>
    <s v="76293-30918-DQ"/>
    <s v="E-D-1"/>
    <n v="6"/>
    <x v="181"/>
    <s v="ppetrushanko5c@blinklist.com"/>
    <x v="1"/>
    <x v="1"/>
    <s v="D"/>
    <x v="0"/>
    <n v="12.15"/>
    <n v="72.900000000000006"/>
    <s v="Excelsa"/>
    <x v="2"/>
    <x v="0"/>
  </r>
  <r>
    <s v="KRZ-13868-122"/>
    <x v="167"/>
    <s v="86779-84838-EJ"/>
    <s v="E-L-1"/>
    <n v="3"/>
    <x v="182"/>
    <s v=""/>
    <x v="0"/>
    <x v="1"/>
    <s v="L"/>
    <x v="0"/>
    <n v="14.85"/>
    <n v="44.55"/>
    <s v="Excelsa"/>
    <x v="1"/>
    <x v="1"/>
  </r>
  <r>
    <s v="VRM-93594-914"/>
    <x v="168"/>
    <s v="66806-41795-MX"/>
    <s v="E-D-0.5"/>
    <n v="5"/>
    <x v="183"/>
    <s v="elaird5e@bing.com"/>
    <x v="0"/>
    <x v="1"/>
    <s v="D"/>
    <x v="1"/>
    <n v="7.29"/>
    <n v="36.450000000000003"/>
    <s v="Excelsa"/>
    <x v="2"/>
    <x v="1"/>
  </r>
  <r>
    <s v="HXL-22497-359"/>
    <x v="169"/>
    <s v="64875-71224-UI"/>
    <s v="A-L-1"/>
    <n v="3"/>
    <x v="184"/>
    <s v="mhowsden5f@infoseek.co.jp"/>
    <x v="0"/>
    <x v="2"/>
    <s v="L"/>
    <x v="0"/>
    <n v="12.95"/>
    <n v="38.849999999999994"/>
    <s v="Arabica"/>
    <x v="1"/>
    <x v="1"/>
  </r>
  <r>
    <s v="NOP-21394-646"/>
    <x v="170"/>
    <s v="16982-35708-BZ"/>
    <s v="E-L-0.5"/>
    <n v="6"/>
    <x v="185"/>
    <s v="ncuttler5g@parallels.com"/>
    <x v="0"/>
    <x v="1"/>
    <s v="L"/>
    <x v="1"/>
    <n v="8.91"/>
    <n v="53.46"/>
    <s v="Excelsa"/>
    <x v="1"/>
    <x v="1"/>
  </r>
  <r>
    <s v="NOP-21394-646"/>
    <x v="170"/>
    <s v="16982-35708-BZ"/>
    <s v="L-D-2.5"/>
    <n v="2"/>
    <x v="185"/>
    <s v="ncuttler5g@parallels.com"/>
    <x v="0"/>
    <x v="3"/>
    <s v="D"/>
    <x v="2"/>
    <n v="29.784999999999997"/>
    <n v="59.569999999999993"/>
    <s v="Liberica"/>
    <x v="2"/>
    <x v="1"/>
  </r>
  <r>
    <s v="NOP-21394-646"/>
    <x v="170"/>
    <s v="16982-35708-BZ"/>
    <s v="L-D-2.5"/>
    <n v="3"/>
    <x v="185"/>
    <s v="ncuttler5g@parallels.com"/>
    <x v="0"/>
    <x v="3"/>
    <s v="D"/>
    <x v="2"/>
    <n v="29.784999999999997"/>
    <n v="89.35499999999999"/>
    <s v="Liberica"/>
    <x v="2"/>
    <x v="1"/>
  </r>
  <r>
    <s v="NOP-21394-646"/>
    <x v="170"/>
    <s v="16982-35708-BZ"/>
    <s v="L-L-0.5"/>
    <n v="4"/>
    <x v="185"/>
    <s v="ncuttler5g@parallels.com"/>
    <x v="0"/>
    <x v="3"/>
    <s v="L"/>
    <x v="1"/>
    <n v="9.51"/>
    <n v="38.04"/>
    <s v="Liberica"/>
    <x v="1"/>
    <x v="1"/>
  </r>
  <r>
    <s v="NOP-21394-646"/>
    <x v="170"/>
    <s v="16982-35708-BZ"/>
    <s v="E-M-1"/>
    <n v="3"/>
    <x v="185"/>
    <s v="ncuttler5g@parallels.com"/>
    <x v="0"/>
    <x v="1"/>
    <s v="M"/>
    <x v="0"/>
    <n v="13.75"/>
    <n v="41.25"/>
    <s v="Excelsa"/>
    <x v="0"/>
    <x v="1"/>
  </r>
  <r>
    <s v="FTV-77095-168"/>
    <x v="171"/>
    <s v="66708-26678-QK"/>
    <s v="L-L-0.5"/>
    <n v="6"/>
    <x v="186"/>
    <s v=""/>
    <x v="0"/>
    <x v="3"/>
    <s v="L"/>
    <x v="1"/>
    <n v="9.51"/>
    <n v="57.06"/>
    <s v="Liberica"/>
    <x v="1"/>
    <x v="1"/>
  </r>
  <r>
    <s v="BOR-02906-411"/>
    <x v="172"/>
    <s v="08743-09057-OO"/>
    <s v="L-D-2.5"/>
    <n v="6"/>
    <x v="187"/>
    <s v="tfelip5m@typepad.com"/>
    <x v="0"/>
    <x v="3"/>
    <s v="D"/>
    <x v="2"/>
    <n v="29.784999999999997"/>
    <n v="178.70999999999998"/>
    <s v="Liberica"/>
    <x v="2"/>
    <x v="0"/>
  </r>
  <r>
    <s v="WMP-68847-770"/>
    <x v="173"/>
    <s v="37490-01572-JW"/>
    <s v="L-L-0.2"/>
    <n v="1"/>
    <x v="188"/>
    <s v="vle5n@disqus.com"/>
    <x v="0"/>
    <x v="3"/>
    <s v="L"/>
    <x v="3"/>
    <n v="4.7549999999999999"/>
    <n v="4.7549999999999999"/>
    <s v="Liberica"/>
    <x v="1"/>
    <x v="1"/>
  </r>
  <r>
    <s v="TMO-22785-872"/>
    <x v="174"/>
    <s v="01811-60350-CU"/>
    <s v="E-M-1"/>
    <n v="6"/>
    <x v="189"/>
    <s v=""/>
    <x v="0"/>
    <x v="1"/>
    <s v="M"/>
    <x v="0"/>
    <n v="13.75"/>
    <n v="82.5"/>
    <s v="Excelsa"/>
    <x v="0"/>
    <x v="1"/>
  </r>
  <r>
    <s v="TJG-73587-353"/>
    <x v="175"/>
    <s v="24766-58139-GT"/>
    <s v="R-D-0.2"/>
    <n v="3"/>
    <x v="190"/>
    <s v=""/>
    <x v="0"/>
    <x v="0"/>
    <s v="D"/>
    <x v="3"/>
    <n v="2.6849999999999996"/>
    <n v="8.0549999999999997"/>
    <s v="Robusta"/>
    <x v="2"/>
    <x v="0"/>
  </r>
  <r>
    <s v="OOU-61343-455"/>
    <x v="176"/>
    <s v="90123-70970-NY"/>
    <s v="A-M-1"/>
    <n v="2"/>
    <x v="191"/>
    <s v="npoolman5q@howstuffworks.com"/>
    <x v="0"/>
    <x v="2"/>
    <s v="M"/>
    <x v="0"/>
    <n v="11.25"/>
    <n v="22.5"/>
    <s v="Arabica"/>
    <x v="0"/>
    <x v="1"/>
  </r>
  <r>
    <s v="RMA-08327-369"/>
    <x v="142"/>
    <s v="93809-05424-MG"/>
    <s v="A-M-0.5"/>
    <n v="6"/>
    <x v="192"/>
    <s v="oduny5r@constantcontact.com"/>
    <x v="0"/>
    <x v="2"/>
    <s v="M"/>
    <x v="1"/>
    <n v="6.75"/>
    <n v="40.5"/>
    <s v="Arabica"/>
    <x v="0"/>
    <x v="0"/>
  </r>
  <r>
    <s v="SFB-97929-779"/>
    <x v="177"/>
    <s v="85425-33494-HQ"/>
    <s v="E-D-0.5"/>
    <n v="4"/>
    <x v="193"/>
    <s v="chalfhide5s@google.ru"/>
    <x v="1"/>
    <x v="1"/>
    <s v="D"/>
    <x v="1"/>
    <n v="7.29"/>
    <n v="29.16"/>
    <s v="Excelsa"/>
    <x v="2"/>
    <x v="0"/>
  </r>
  <r>
    <s v="AUP-10128-606"/>
    <x v="178"/>
    <s v="54387-64897-XC"/>
    <s v="A-M-0.5"/>
    <n v="1"/>
    <x v="194"/>
    <s v="fmalecky5t@list-manage.com"/>
    <x v="2"/>
    <x v="2"/>
    <s v="M"/>
    <x v="1"/>
    <n v="6.75"/>
    <n v="6.75"/>
    <s v="Arabica"/>
    <x v="0"/>
    <x v="1"/>
  </r>
  <r>
    <s v="YTW-40242-005"/>
    <x v="179"/>
    <s v="01035-70465-UO"/>
    <s v="L-D-1"/>
    <n v="4"/>
    <x v="195"/>
    <s v="aattwater5u@wikia.com"/>
    <x v="0"/>
    <x v="3"/>
    <s v="D"/>
    <x v="0"/>
    <n v="12.95"/>
    <n v="51.8"/>
    <s v="Liberica"/>
    <x v="2"/>
    <x v="0"/>
  </r>
  <r>
    <s v="PRP-53390-819"/>
    <x v="180"/>
    <s v="84260-39432-ML"/>
    <s v="E-L-0.5"/>
    <n v="6"/>
    <x v="196"/>
    <s v="mwhellans5v@mapquest.com"/>
    <x v="0"/>
    <x v="1"/>
    <s v="L"/>
    <x v="1"/>
    <n v="8.91"/>
    <n v="53.46"/>
    <s v="Excelsa"/>
    <x v="1"/>
    <x v="1"/>
  </r>
  <r>
    <s v="GSJ-01065-125"/>
    <x v="181"/>
    <s v="69779-40609-RS"/>
    <s v="E-D-0.2"/>
    <n v="4"/>
    <x v="197"/>
    <s v="dcamilletti5w@businesswire.com"/>
    <x v="0"/>
    <x v="1"/>
    <s v="D"/>
    <x v="3"/>
    <n v="3.645"/>
    <n v="14.58"/>
    <s v="Excelsa"/>
    <x v="2"/>
    <x v="0"/>
  </r>
  <r>
    <s v="YQU-65147-580"/>
    <x v="182"/>
    <s v="80247-70000-HT"/>
    <s v="R-D-2.5"/>
    <n v="1"/>
    <x v="198"/>
    <s v="egalgey5x@wufoo.com"/>
    <x v="0"/>
    <x v="0"/>
    <s v="D"/>
    <x v="2"/>
    <n v="20.584999999999997"/>
    <n v="20.584999999999997"/>
    <s v="Robusta"/>
    <x v="2"/>
    <x v="1"/>
  </r>
  <r>
    <s v="QPM-95832-683"/>
    <x v="183"/>
    <s v="35058-04550-VC"/>
    <s v="L-L-1"/>
    <n v="2"/>
    <x v="199"/>
    <s v="mhame5y@newsvine.com"/>
    <x v="1"/>
    <x v="3"/>
    <s v="L"/>
    <x v="0"/>
    <n v="15.85"/>
    <n v="31.7"/>
    <s v="Liberica"/>
    <x v="1"/>
    <x v="1"/>
  </r>
  <r>
    <s v="BNQ-88920-567"/>
    <x v="184"/>
    <s v="27226-53717-SY"/>
    <s v="L-D-0.2"/>
    <n v="6"/>
    <x v="200"/>
    <s v="igurnee5z@usnews.com"/>
    <x v="0"/>
    <x v="3"/>
    <s v="D"/>
    <x v="3"/>
    <n v="3.8849999999999998"/>
    <n v="23.31"/>
    <s v="Liberica"/>
    <x v="2"/>
    <x v="1"/>
  </r>
  <r>
    <s v="PUX-47906-110"/>
    <x v="185"/>
    <s v="02002-98725-CH"/>
    <s v="L-M-1"/>
    <n v="4"/>
    <x v="201"/>
    <s v="asnowding60@comsenz.com"/>
    <x v="0"/>
    <x v="3"/>
    <s v="M"/>
    <x v="0"/>
    <n v="14.55"/>
    <n v="58.2"/>
    <s v="Liberica"/>
    <x v="0"/>
    <x v="0"/>
  </r>
  <r>
    <s v="COL-72079-610"/>
    <x v="186"/>
    <s v="38487-01549-MV"/>
    <s v="E-L-0.5"/>
    <n v="4"/>
    <x v="202"/>
    <s v="gpoinsett61@berkeley.edu"/>
    <x v="0"/>
    <x v="1"/>
    <s v="L"/>
    <x v="1"/>
    <n v="8.91"/>
    <n v="35.64"/>
    <s v="Excelsa"/>
    <x v="1"/>
    <x v="1"/>
  </r>
  <r>
    <s v="LBC-45686-819"/>
    <x v="187"/>
    <s v="98573-41811-EQ"/>
    <s v="A-M-1"/>
    <n v="5"/>
    <x v="203"/>
    <s v="rfurman62@t.co"/>
    <x v="1"/>
    <x v="2"/>
    <s v="M"/>
    <x v="0"/>
    <n v="11.25"/>
    <n v="56.25"/>
    <s v="Arabica"/>
    <x v="0"/>
    <x v="0"/>
  </r>
  <r>
    <s v="BLQ-03709-265"/>
    <x v="148"/>
    <s v="72463-75685-MV"/>
    <s v="R-L-0.2"/>
    <n v="3"/>
    <x v="204"/>
    <s v="ccrosier63@xrea.com"/>
    <x v="0"/>
    <x v="0"/>
    <s v="L"/>
    <x v="3"/>
    <n v="3.5849999999999995"/>
    <n v="10.754999999999999"/>
    <s v="Robusta"/>
    <x v="1"/>
    <x v="1"/>
  </r>
  <r>
    <s v="BLQ-03709-265"/>
    <x v="148"/>
    <s v="72463-75685-MV"/>
    <s v="R-M-0.2"/>
    <n v="5"/>
    <x v="204"/>
    <s v="ccrosier63@xrea.com"/>
    <x v="0"/>
    <x v="0"/>
    <s v="M"/>
    <x v="3"/>
    <n v="2.9849999999999999"/>
    <n v="14.924999999999999"/>
    <s v="Robusta"/>
    <x v="0"/>
    <x v="1"/>
  </r>
  <r>
    <s v="VFZ-91673-181"/>
    <x v="188"/>
    <s v="10225-91535-AI"/>
    <s v="A-L-1"/>
    <n v="6"/>
    <x v="205"/>
    <s v="lrushmer65@europa.eu"/>
    <x v="0"/>
    <x v="2"/>
    <s v="L"/>
    <x v="0"/>
    <n v="12.95"/>
    <n v="77.699999999999989"/>
    <s v="Arabica"/>
    <x v="1"/>
    <x v="0"/>
  </r>
  <r>
    <s v="WKD-81956-870"/>
    <x v="189"/>
    <s v="48090-06534-HI"/>
    <s v="L-D-0.5"/>
    <n v="3"/>
    <x v="206"/>
    <s v="wedinborough66@github.io"/>
    <x v="0"/>
    <x v="3"/>
    <s v="D"/>
    <x v="1"/>
    <n v="7.77"/>
    <n v="23.31"/>
    <s v="Liberica"/>
    <x v="2"/>
    <x v="1"/>
  </r>
  <r>
    <s v="TNI-91067-006"/>
    <x v="190"/>
    <s v="80444-58185-FX"/>
    <s v="E-L-1"/>
    <n v="4"/>
    <x v="207"/>
    <s v=""/>
    <x v="0"/>
    <x v="1"/>
    <s v="L"/>
    <x v="0"/>
    <n v="14.85"/>
    <n v="59.4"/>
    <s v="Excelsa"/>
    <x v="1"/>
    <x v="0"/>
  </r>
  <r>
    <s v="IZA-61469-812"/>
    <x v="191"/>
    <s v="13561-92774-WP"/>
    <s v="L-D-2.5"/>
    <n v="4"/>
    <x v="208"/>
    <s v="kbromehead68@un.org"/>
    <x v="0"/>
    <x v="3"/>
    <s v="D"/>
    <x v="2"/>
    <n v="29.784999999999997"/>
    <n v="119.13999999999999"/>
    <s v="Liberica"/>
    <x v="2"/>
    <x v="0"/>
  </r>
  <r>
    <s v="PSS-22466-862"/>
    <x v="192"/>
    <s v="11550-78378-GE"/>
    <s v="R-L-0.2"/>
    <n v="4"/>
    <x v="209"/>
    <s v="ewesterman69@si.edu"/>
    <x v="1"/>
    <x v="0"/>
    <s v="L"/>
    <x v="3"/>
    <n v="3.5849999999999995"/>
    <n v="14.339999999999998"/>
    <s v="Robusta"/>
    <x v="1"/>
    <x v="1"/>
  </r>
  <r>
    <s v="REH-56504-397"/>
    <x v="193"/>
    <s v="90961-35603-RP"/>
    <s v="A-M-2.5"/>
    <n v="5"/>
    <x v="210"/>
    <s v="ahutchens6a@amazonaws.com"/>
    <x v="0"/>
    <x v="2"/>
    <s v="M"/>
    <x v="2"/>
    <n v="25.874999999999996"/>
    <n v="129.37499999999997"/>
    <s v="Arabica"/>
    <x v="0"/>
    <x v="1"/>
  </r>
  <r>
    <s v="ALA-62598-016"/>
    <x v="194"/>
    <s v="57145-03803-ZL"/>
    <s v="R-D-0.2"/>
    <n v="6"/>
    <x v="211"/>
    <s v="nwyvill6b@naver.com"/>
    <x v="2"/>
    <x v="0"/>
    <s v="D"/>
    <x v="3"/>
    <n v="2.6849999999999996"/>
    <n v="16.11"/>
    <s v="Robusta"/>
    <x v="2"/>
    <x v="0"/>
  </r>
  <r>
    <s v="EYE-70374-835"/>
    <x v="195"/>
    <s v="89115-11966-VF"/>
    <s v="R-L-0.2"/>
    <n v="5"/>
    <x v="212"/>
    <s v="bmathon6c@barnesandnoble.com"/>
    <x v="0"/>
    <x v="0"/>
    <s v="L"/>
    <x v="3"/>
    <n v="3.5849999999999995"/>
    <n v="17.924999999999997"/>
    <s v="Robusta"/>
    <x v="1"/>
    <x v="1"/>
  </r>
  <r>
    <s v="CCZ-19589-212"/>
    <x v="196"/>
    <s v="05754-41702-FG"/>
    <s v="L-M-0.2"/>
    <n v="2"/>
    <x v="213"/>
    <s v="kstreight6d@about.com"/>
    <x v="0"/>
    <x v="3"/>
    <s v="M"/>
    <x v="3"/>
    <n v="4.3650000000000002"/>
    <n v="8.73"/>
    <s v="Liberica"/>
    <x v="0"/>
    <x v="1"/>
  </r>
  <r>
    <s v="BPT-83989-157"/>
    <x v="197"/>
    <s v="84269-49816-ML"/>
    <s v="A-M-2.5"/>
    <n v="2"/>
    <x v="214"/>
    <s v="pcutchie6e@globo.com"/>
    <x v="0"/>
    <x v="2"/>
    <s v="M"/>
    <x v="2"/>
    <n v="25.874999999999996"/>
    <n v="51.749999999999993"/>
    <s v="Arabica"/>
    <x v="0"/>
    <x v="1"/>
  </r>
  <r>
    <s v="YFH-87456-208"/>
    <x v="198"/>
    <s v="23600-98432-ME"/>
    <s v="L-M-0.2"/>
    <n v="2"/>
    <x v="215"/>
    <s v=""/>
    <x v="0"/>
    <x v="3"/>
    <s v="M"/>
    <x v="3"/>
    <n v="4.3650000000000002"/>
    <n v="8.73"/>
    <s v="Liberica"/>
    <x v="0"/>
    <x v="0"/>
  </r>
  <r>
    <s v="JLN-14700-924"/>
    <x v="199"/>
    <s v="79058-02767-CP"/>
    <s v="L-L-0.2"/>
    <n v="5"/>
    <x v="216"/>
    <s v="cgheraldi6g@opera.com"/>
    <x v="2"/>
    <x v="3"/>
    <s v="L"/>
    <x v="3"/>
    <n v="4.7549999999999999"/>
    <n v="23.774999999999999"/>
    <s v="Liberica"/>
    <x v="1"/>
    <x v="1"/>
  </r>
  <r>
    <s v="JVW-22582-137"/>
    <x v="200"/>
    <s v="89208-74646-UK"/>
    <s v="E-M-0.2"/>
    <n v="5"/>
    <x v="217"/>
    <s v="bkenwell6h@over-blog.com"/>
    <x v="0"/>
    <x v="1"/>
    <s v="M"/>
    <x v="3"/>
    <n v="4.125"/>
    <n v="20.625"/>
    <s v="Excelsa"/>
    <x v="0"/>
    <x v="1"/>
  </r>
  <r>
    <s v="LAA-41879-001"/>
    <x v="201"/>
    <s v="11408-81032-UR"/>
    <s v="L-L-2.5"/>
    <n v="1"/>
    <x v="218"/>
    <s v="tsutty6i@google.es"/>
    <x v="0"/>
    <x v="3"/>
    <s v="L"/>
    <x v="2"/>
    <n v="36.454999999999998"/>
    <n v="36.454999999999998"/>
    <s v="Liberica"/>
    <x v="1"/>
    <x v="1"/>
  </r>
  <r>
    <s v="BRV-64870-915"/>
    <x v="202"/>
    <s v="32070-55528-UG"/>
    <s v="L-L-2.5"/>
    <n v="5"/>
    <x v="219"/>
    <s v=""/>
    <x v="1"/>
    <x v="3"/>
    <s v="L"/>
    <x v="2"/>
    <n v="36.454999999999998"/>
    <n v="182.27499999999998"/>
    <s v="Liberica"/>
    <x v="1"/>
    <x v="1"/>
  </r>
  <r>
    <s v="RGJ-12544-083"/>
    <x v="203"/>
    <s v="48873-84433-PN"/>
    <s v="L-D-2.5"/>
    <n v="3"/>
    <x v="220"/>
    <s v="charce6k@cafepress.com"/>
    <x v="1"/>
    <x v="3"/>
    <s v="D"/>
    <x v="2"/>
    <n v="29.784999999999997"/>
    <n v="89.35499999999999"/>
    <s v="Liberica"/>
    <x v="2"/>
    <x v="1"/>
  </r>
  <r>
    <s v="JJX-83339-346"/>
    <x v="204"/>
    <s v="32928-18158-OW"/>
    <s v="R-L-0.2"/>
    <n v="1"/>
    <x v="221"/>
    <s v=""/>
    <x v="0"/>
    <x v="0"/>
    <s v="L"/>
    <x v="3"/>
    <n v="3.5849999999999995"/>
    <n v="3.5849999999999995"/>
    <s v="Robusta"/>
    <x v="1"/>
    <x v="0"/>
  </r>
  <r>
    <s v="BIU-21970-705"/>
    <x v="205"/>
    <s v="89711-56688-GG"/>
    <s v="R-M-2.5"/>
    <n v="2"/>
    <x v="222"/>
    <s v="fdrysdale6m@symantec.com"/>
    <x v="0"/>
    <x v="0"/>
    <s v="M"/>
    <x v="2"/>
    <n v="22.884999999999998"/>
    <n v="45.769999999999996"/>
    <s v="Robusta"/>
    <x v="0"/>
    <x v="0"/>
  </r>
  <r>
    <s v="ELJ-87741-745"/>
    <x v="206"/>
    <s v="48389-71976-JB"/>
    <s v="E-L-1"/>
    <n v="4"/>
    <x v="223"/>
    <s v="dmagowan6n@fc2.com"/>
    <x v="0"/>
    <x v="1"/>
    <s v="L"/>
    <x v="0"/>
    <n v="14.85"/>
    <n v="59.4"/>
    <s v="Excelsa"/>
    <x v="1"/>
    <x v="1"/>
  </r>
  <r>
    <s v="SGI-48226-857"/>
    <x v="207"/>
    <s v="84033-80762-EQ"/>
    <s v="A-M-2.5"/>
    <n v="6"/>
    <x v="224"/>
    <s v=""/>
    <x v="0"/>
    <x v="2"/>
    <s v="M"/>
    <x v="2"/>
    <n v="25.874999999999996"/>
    <n v="155.24999999999997"/>
    <s v="Arabica"/>
    <x v="0"/>
    <x v="0"/>
  </r>
  <r>
    <s v="AHV-66988-037"/>
    <x v="208"/>
    <s v="12743-00952-KO"/>
    <s v="R-M-2.5"/>
    <n v="2"/>
    <x v="225"/>
    <s v=""/>
    <x v="0"/>
    <x v="0"/>
    <s v="M"/>
    <x v="2"/>
    <n v="22.884999999999998"/>
    <n v="45.769999999999996"/>
    <s v="Robusta"/>
    <x v="0"/>
    <x v="1"/>
  </r>
  <r>
    <s v="ISK-42066-094"/>
    <x v="209"/>
    <s v="41505-42181-EF"/>
    <s v="E-D-1"/>
    <n v="3"/>
    <x v="226"/>
    <s v="srushbrooke6q@youku.com"/>
    <x v="0"/>
    <x v="1"/>
    <s v="D"/>
    <x v="0"/>
    <n v="12.15"/>
    <n v="36.450000000000003"/>
    <s v="Excelsa"/>
    <x v="2"/>
    <x v="0"/>
  </r>
  <r>
    <s v="FTC-35822-530"/>
    <x v="210"/>
    <s v="14307-87663-KB"/>
    <s v="E-D-0.5"/>
    <n v="4"/>
    <x v="227"/>
    <s v="tdrynan6r@deviantart.com"/>
    <x v="0"/>
    <x v="1"/>
    <s v="D"/>
    <x v="1"/>
    <n v="7.29"/>
    <n v="29.16"/>
    <s v="Excelsa"/>
    <x v="2"/>
    <x v="0"/>
  </r>
  <r>
    <s v="VSS-56247-688"/>
    <x v="211"/>
    <s v="08360-19442-GB"/>
    <s v="L-M-2.5"/>
    <n v="4"/>
    <x v="228"/>
    <s v="eyurkov6s@hud.gov"/>
    <x v="0"/>
    <x v="3"/>
    <s v="M"/>
    <x v="2"/>
    <n v="33.464999999999996"/>
    <n v="133.85999999999999"/>
    <s v="Liberica"/>
    <x v="0"/>
    <x v="1"/>
  </r>
  <r>
    <s v="HVW-25584-144"/>
    <x v="212"/>
    <s v="93405-51204-UW"/>
    <s v="L-L-0.2"/>
    <n v="5"/>
    <x v="229"/>
    <s v="lmallan6t@state.gov"/>
    <x v="0"/>
    <x v="3"/>
    <s v="L"/>
    <x v="3"/>
    <n v="4.7549999999999999"/>
    <n v="23.774999999999999"/>
    <s v="Liberica"/>
    <x v="1"/>
    <x v="0"/>
  </r>
  <r>
    <s v="MUY-15309-209"/>
    <x v="213"/>
    <s v="97152-03355-IW"/>
    <s v="L-D-1"/>
    <n v="3"/>
    <x v="230"/>
    <s v="gbentjens6u@netlog.com"/>
    <x v="2"/>
    <x v="3"/>
    <s v="D"/>
    <x v="0"/>
    <n v="12.95"/>
    <n v="38.849999999999994"/>
    <s v="Liberica"/>
    <x v="2"/>
    <x v="1"/>
  </r>
  <r>
    <s v="VAJ-44572-469"/>
    <x v="63"/>
    <s v="79216-73157-TE"/>
    <s v="R-L-0.2"/>
    <n v="6"/>
    <x v="231"/>
    <s v=""/>
    <x v="1"/>
    <x v="0"/>
    <s v="L"/>
    <x v="3"/>
    <n v="3.5849999999999995"/>
    <n v="21.509999999999998"/>
    <s v="Robusta"/>
    <x v="1"/>
    <x v="0"/>
  </r>
  <r>
    <s v="YJU-84377-606"/>
    <x v="214"/>
    <s v="20259-47723-AC"/>
    <s v="A-D-1"/>
    <n v="1"/>
    <x v="232"/>
    <s v="lentwistle6w@omniture.com"/>
    <x v="0"/>
    <x v="2"/>
    <s v="D"/>
    <x v="0"/>
    <n v="9.9499999999999993"/>
    <n v="9.9499999999999993"/>
    <s v="Arabica"/>
    <x v="2"/>
    <x v="0"/>
  </r>
  <r>
    <s v="VNC-93921-469"/>
    <x v="215"/>
    <s v="04666-71569-RI"/>
    <s v="L-L-1"/>
    <n v="1"/>
    <x v="233"/>
    <s v="zkiffe74@cyberchimps.com"/>
    <x v="0"/>
    <x v="3"/>
    <s v="L"/>
    <x v="0"/>
    <n v="15.85"/>
    <n v="15.85"/>
    <s v="Liberica"/>
    <x v="1"/>
    <x v="0"/>
  </r>
  <r>
    <s v="OGB-91614-810"/>
    <x v="216"/>
    <s v="08909-77713-CG"/>
    <s v="R-M-0.2"/>
    <n v="1"/>
    <x v="234"/>
    <s v="macott6y@pagesperso-orange.fr"/>
    <x v="0"/>
    <x v="0"/>
    <s v="M"/>
    <x v="3"/>
    <n v="2.9849999999999999"/>
    <n v="2.9849999999999999"/>
    <s v="Robusta"/>
    <x v="0"/>
    <x v="0"/>
  </r>
  <r>
    <s v="BQI-61647-496"/>
    <x v="217"/>
    <s v="84340-73931-VV"/>
    <s v="E-M-1"/>
    <n v="5"/>
    <x v="235"/>
    <s v="cheaviside6z@rediff.com"/>
    <x v="0"/>
    <x v="1"/>
    <s v="M"/>
    <x v="0"/>
    <n v="13.75"/>
    <n v="68.75"/>
    <s v="Excelsa"/>
    <x v="0"/>
    <x v="0"/>
  </r>
  <r>
    <s v="IOM-51636-823"/>
    <x v="218"/>
    <s v="04609-95151-XH"/>
    <s v="A-D-1"/>
    <n v="3"/>
    <x v="236"/>
    <s v=""/>
    <x v="0"/>
    <x v="2"/>
    <s v="D"/>
    <x v="0"/>
    <n v="9.9499999999999993"/>
    <n v="29.849999999999998"/>
    <s v="Arabica"/>
    <x v="2"/>
    <x v="1"/>
  </r>
  <r>
    <s v="GGD-38107-641"/>
    <x v="219"/>
    <s v="99562-88650-YF"/>
    <s v="L-M-1"/>
    <n v="4"/>
    <x v="237"/>
    <s v="lkernan71@wsj.com"/>
    <x v="0"/>
    <x v="3"/>
    <s v="M"/>
    <x v="0"/>
    <n v="14.55"/>
    <n v="58.2"/>
    <s v="Liberica"/>
    <x v="0"/>
    <x v="1"/>
  </r>
  <r>
    <s v="LTO-95975-728"/>
    <x v="220"/>
    <s v="46560-73885-PJ"/>
    <s v="R-L-0.5"/>
    <n v="4"/>
    <x v="238"/>
    <s v="rmclae72@dailymotion.com"/>
    <x v="2"/>
    <x v="0"/>
    <s v="L"/>
    <x v="1"/>
    <n v="7.169999999999999"/>
    <n v="28.679999999999996"/>
    <s v="Robusta"/>
    <x v="1"/>
    <x v="1"/>
  </r>
  <r>
    <s v="IGM-84664-265"/>
    <x v="114"/>
    <s v="80179-44620-WN"/>
    <s v="R-L-0.5"/>
    <n v="3"/>
    <x v="239"/>
    <s v="cblowfelde73@ustream.tv"/>
    <x v="0"/>
    <x v="0"/>
    <s v="L"/>
    <x v="1"/>
    <n v="7.169999999999999"/>
    <n v="21.509999999999998"/>
    <s v="Robusta"/>
    <x v="1"/>
    <x v="1"/>
  </r>
  <r>
    <s v="SKO-45740-621"/>
    <x v="221"/>
    <s v="04666-71569-RI"/>
    <s v="L-M-0.5"/>
    <n v="2"/>
    <x v="233"/>
    <s v="zkiffe74@cyberchimps.com"/>
    <x v="0"/>
    <x v="3"/>
    <s v="M"/>
    <x v="1"/>
    <n v="8.73"/>
    <n v="17.46"/>
    <s v="Liberica"/>
    <x v="0"/>
    <x v="0"/>
  </r>
  <r>
    <s v="FOJ-02234-063"/>
    <x v="222"/>
    <s v="59081-87231-VP"/>
    <s v="E-D-2.5"/>
    <n v="1"/>
    <x v="240"/>
    <s v="docalleran75@ucla.edu"/>
    <x v="0"/>
    <x v="1"/>
    <s v="D"/>
    <x v="2"/>
    <n v="27.945"/>
    <n v="27.945"/>
    <s v="Excelsa"/>
    <x v="2"/>
    <x v="0"/>
  </r>
  <r>
    <s v="MSJ-11909-468"/>
    <x v="188"/>
    <s v="07878-45872-CC"/>
    <s v="E-D-2.5"/>
    <n v="5"/>
    <x v="241"/>
    <s v="ccromwell76@desdev.cn"/>
    <x v="0"/>
    <x v="1"/>
    <s v="D"/>
    <x v="2"/>
    <n v="27.945"/>
    <n v="139.72499999999999"/>
    <s v="Excelsa"/>
    <x v="2"/>
    <x v="1"/>
  </r>
  <r>
    <s v="DKB-78053-329"/>
    <x v="223"/>
    <s v="12444-05174-OO"/>
    <s v="R-M-0.2"/>
    <n v="2"/>
    <x v="242"/>
    <s v="ihay77@lulu.com"/>
    <x v="2"/>
    <x v="0"/>
    <s v="M"/>
    <x v="3"/>
    <n v="2.9849999999999999"/>
    <n v="5.97"/>
    <s v="Robusta"/>
    <x v="0"/>
    <x v="1"/>
  </r>
  <r>
    <s v="DFZ-45083-941"/>
    <x v="224"/>
    <s v="34665-62561-AU"/>
    <s v="R-L-2.5"/>
    <n v="1"/>
    <x v="243"/>
    <s v="ttaffarello78@sciencedaily.com"/>
    <x v="0"/>
    <x v="0"/>
    <s v="L"/>
    <x v="2"/>
    <n v="27.484999999999996"/>
    <n v="27.484999999999996"/>
    <s v="Robusta"/>
    <x v="1"/>
    <x v="0"/>
  </r>
  <r>
    <s v="OTA-40969-710"/>
    <x v="83"/>
    <s v="77877-11993-QH"/>
    <s v="R-L-1"/>
    <n v="5"/>
    <x v="244"/>
    <s v="mcanty79@jigsy.com"/>
    <x v="0"/>
    <x v="0"/>
    <s v="L"/>
    <x v="0"/>
    <n v="11.95"/>
    <n v="59.75"/>
    <s v="Robusta"/>
    <x v="1"/>
    <x v="0"/>
  </r>
  <r>
    <s v="GRH-45571-667"/>
    <x v="104"/>
    <s v="32291-18308-YZ"/>
    <s v="E-M-1"/>
    <n v="3"/>
    <x v="245"/>
    <s v="jkopke7a@auda.org.au"/>
    <x v="0"/>
    <x v="1"/>
    <s v="M"/>
    <x v="0"/>
    <n v="13.75"/>
    <n v="41.25"/>
    <s v="Excelsa"/>
    <x v="0"/>
    <x v="1"/>
  </r>
  <r>
    <s v="NXV-05302-067"/>
    <x v="225"/>
    <s v="25754-33191-ZI"/>
    <s v="L-M-2.5"/>
    <n v="4"/>
    <x v="246"/>
    <s v=""/>
    <x v="0"/>
    <x v="3"/>
    <s v="M"/>
    <x v="2"/>
    <n v="33.464999999999996"/>
    <n v="133.85999999999999"/>
    <s v="Liberica"/>
    <x v="0"/>
    <x v="1"/>
  </r>
  <r>
    <s v="VZH-86274-142"/>
    <x v="226"/>
    <s v="53120-45532-KL"/>
    <s v="R-L-1"/>
    <n v="5"/>
    <x v="247"/>
    <s v=""/>
    <x v="1"/>
    <x v="0"/>
    <s v="L"/>
    <x v="0"/>
    <n v="11.95"/>
    <n v="59.75"/>
    <s v="Robusta"/>
    <x v="1"/>
    <x v="0"/>
  </r>
  <r>
    <s v="KIX-93248-135"/>
    <x v="227"/>
    <s v="36605-83052-WB"/>
    <s v="A-D-0.5"/>
    <n v="1"/>
    <x v="248"/>
    <s v="vhellmore7d@bbc.co.uk"/>
    <x v="0"/>
    <x v="2"/>
    <s v="D"/>
    <x v="1"/>
    <n v="5.97"/>
    <n v="5.97"/>
    <s v="Arabica"/>
    <x v="2"/>
    <x v="0"/>
  </r>
  <r>
    <s v="AXR-10962-010"/>
    <x v="180"/>
    <s v="53683-35977-KI"/>
    <s v="E-D-1"/>
    <n v="2"/>
    <x v="249"/>
    <s v="mseawright7e@nbcnews.com"/>
    <x v="2"/>
    <x v="1"/>
    <s v="D"/>
    <x v="0"/>
    <n v="12.15"/>
    <n v="24.3"/>
    <s v="Excelsa"/>
    <x v="2"/>
    <x v="1"/>
  </r>
  <r>
    <s v="IHS-71573-008"/>
    <x v="228"/>
    <s v="07972-83134-NM"/>
    <s v="E-D-0.2"/>
    <n v="6"/>
    <x v="250"/>
    <s v="snortheast7f@mashable.com"/>
    <x v="0"/>
    <x v="1"/>
    <s v="D"/>
    <x v="3"/>
    <n v="3.645"/>
    <n v="21.87"/>
    <s v="Excelsa"/>
    <x v="2"/>
    <x v="0"/>
  </r>
  <r>
    <s v="QTR-19001-114"/>
    <x v="229"/>
    <s v="01035-70465-UO"/>
    <s v="A-D-1"/>
    <n v="2"/>
    <x v="195"/>
    <s v="aattwater5u@wikia.com"/>
    <x v="0"/>
    <x v="2"/>
    <s v="D"/>
    <x v="0"/>
    <n v="9.9499999999999993"/>
    <n v="19.899999999999999"/>
    <s v="Arabica"/>
    <x v="2"/>
    <x v="0"/>
  </r>
  <r>
    <s v="WBK-62297-910"/>
    <x v="230"/>
    <s v="25514-23938-IQ"/>
    <s v="A-D-0.2"/>
    <n v="2"/>
    <x v="251"/>
    <s v="mfearon7h@reverbnation.com"/>
    <x v="0"/>
    <x v="2"/>
    <s v="D"/>
    <x v="3"/>
    <n v="2.9849999999999999"/>
    <n v="5.97"/>
    <s v="Arabica"/>
    <x v="2"/>
    <x v="1"/>
  </r>
  <r>
    <s v="OGY-19377-175"/>
    <x v="231"/>
    <s v="49084-44492-OJ"/>
    <s v="E-D-0.5"/>
    <n v="1"/>
    <x v="252"/>
    <s v=""/>
    <x v="1"/>
    <x v="1"/>
    <s v="D"/>
    <x v="1"/>
    <n v="7.29"/>
    <n v="7.29"/>
    <s v="Excelsa"/>
    <x v="2"/>
    <x v="0"/>
  </r>
  <r>
    <s v="ESR-66651-814"/>
    <x v="80"/>
    <s v="76624-72205-CK"/>
    <s v="A-D-0.2"/>
    <n v="4"/>
    <x v="253"/>
    <s v="jsisneros7j@a8.net"/>
    <x v="0"/>
    <x v="2"/>
    <s v="D"/>
    <x v="3"/>
    <n v="2.9849999999999999"/>
    <n v="11.94"/>
    <s v="Arabica"/>
    <x v="2"/>
    <x v="0"/>
  </r>
  <r>
    <s v="CPX-46916-770"/>
    <x v="232"/>
    <s v="12729-50170-JE"/>
    <s v="R-L-1"/>
    <n v="6"/>
    <x v="254"/>
    <s v="zcarlson7k@bigcartel.com"/>
    <x v="1"/>
    <x v="0"/>
    <s v="L"/>
    <x v="0"/>
    <n v="11.95"/>
    <n v="71.699999999999989"/>
    <s v="Robusta"/>
    <x v="1"/>
    <x v="0"/>
  </r>
  <r>
    <s v="MDC-03318-645"/>
    <x v="233"/>
    <s v="43974-44760-QI"/>
    <s v="A-L-0.2"/>
    <n v="2"/>
    <x v="255"/>
    <s v="wmaddox7l@timesonline.co.uk"/>
    <x v="0"/>
    <x v="2"/>
    <s v="L"/>
    <x v="3"/>
    <n v="3.8849999999999998"/>
    <n v="7.77"/>
    <s v="Arabica"/>
    <x v="1"/>
    <x v="1"/>
  </r>
  <r>
    <s v="SFF-86059-407"/>
    <x v="234"/>
    <s v="30585-48726-BK"/>
    <s v="A-M-2.5"/>
    <n v="1"/>
    <x v="256"/>
    <s v="dhedlestone7m@craigslist.org"/>
    <x v="0"/>
    <x v="2"/>
    <s v="M"/>
    <x v="2"/>
    <n v="25.874999999999996"/>
    <n v="25.874999999999996"/>
    <s v="Arabica"/>
    <x v="0"/>
    <x v="1"/>
  </r>
  <r>
    <s v="SCL-94540-788"/>
    <x v="235"/>
    <s v="16123-07017-TY"/>
    <s v="E-L-2.5"/>
    <n v="6"/>
    <x v="257"/>
    <s v="tcrowthe7n@europa.eu"/>
    <x v="0"/>
    <x v="1"/>
    <s v="L"/>
    <x v="2"/>
    <n v="34.154999999999994"/>
    <n v="204.92999999999995"/>
    <s v="Excelsa"/>
    <x v="1"/>
    <x v="1"/>
  </r>
  <r>
    <s v="HVU-21634-076"/>
    <x v="236"/>
    <s v="27723-45097-MH"/>
    <s v="R-L-2.5"/>
    <n v="4"/>
    <x v="258"/>
    <s v="dbury7o@tinyurl.com"/>
    <x v="1"/>
    <x v="0"/>
    <s v="L"/>
    <x v="2"/>
    <n v="27.484999999999996"/>
    <n v="109.93999999999998"/>
    <s v="Robusta"/>
    <x v="1"/>
    <x v="0"/>
  </r>
  <r>
    <s v="XUS-73326-418"/>
    <x v="237"/>
    <s v="37078-56703-AF"/>
    <s v="E-L-1"/>
    <n v="6"/>
    <x v="259"/>
    <s v="gbroadbear7p@omniture.com"/>
    <x v="0"/>
    <x v="1"/>
    <s v="L"/>
    <x v="0"/>
    <n v="14.85"/>
    <n v="89.1"/>
    <s v="Excelsa"/>
    <x v="1"/>
    <x v="1"/>
  </r>
  <r>
    <s v="XWD-18933-006"/>
    <x v="238"/>
    <s v="79420-11075-MY"/>
    <s v="A-L-0.2"/>
    <n v="2"/>
    <x v="260"/>
    <s v="epalfrey7q@devhub.com"/>
    <x v="0"/>
    <x v="2"/>
    <s v="L"/>
    <x v="3"/>
    <n v="3.8849999999999998"/>
    <n v="7.77"/>
    <s v="Arabica"/>
    <x v="1"/>
    <x v="0"/>
  </r>
  <r>
    <s v="HPD-65272-772"/>
    <x v="52"/>
    <s v="57504-13456-UO"/>
    <s v="L-M-2.5"/>
    <n v="1"/>
    <x v="261"/>
    <s v="pmetrick7r@rakuten.co.jp"/>
    <x v="0"/>
    <x v="3"/>
    <s v="M"/>
    <x v="2"/>
    <n v="33.464999999999996"/>
    <n v="33.464999999999996"/>
    <s v="Liberica"/>
    <x v="0"/>
    <x v="0"/>
  </r>
  <r>
    <s v="JEG-93140-224"/>
    <x v="146"/>
    <s v="53751-57560-CN"/>
    <s v="E-M-0.5"/>
    <n v="5"/>
    <x v="262"/>
    <s v=""/>
    <x v="0"/>
    <x v="1"/>
    <s v="M"/>
    <x v="1"/>
    <n v="8.25"/>
    <n v="41.25"/>
    <s v="Excelsa"/>
    <x v="0"/>
    <x v="0"/>
  </r>
  <r>
    <s v="NNH-62058-950"/>
    <x v="239"/>
    <s v="96112-42558-EA"/>
    <s v="E-L-1"/>
    <n v="4"/>
    <x v="263"/>
    <s v="kkarby7t@sbwire.com"/>
    <x v="0"/>
    <x v="1"/>
    <s v="L"/>
    <x v="0"/>
    <n v="14.85"/>
    <n v="59.4"/>
    <s v="Excelsa"/>
    <x v="1"/>
    <x v="0"/>
  </r>
  <r>
    <s v="LTD-71429-845"/>
    <x v="240"/>
    <s v="03157-23165-UB"/>
    <s v="A-L-0.5"/>
    <n v="1"/>
    <x v="264"/>
    <s v="fcrumpe7u@ftc.gov"/>
    <x v="2"/>
    <x v="2"/>
    <s v="L"/>
    <x v="1"/>
    <n v="7.77"/>
    <n v="7.77"/>
    <s v="Arabica"/>
    <x v="1"/>
    <x v="1"/>
  </r>
  <r>
    <s v="MPV-26985-215"/>
    <x v="241"/>
    <s v="51466-52850-AG"/>
    <s v="R-D-0.5"/>
    <n v="1"/>
    <x v="265"/>
    <s v="achatto7v@sakura.ne.jp"/>
    <x v="2"/>
    <x v="0"/>
    <s v="D"/>
    <x v="1"/>
    <n v="5.3699999999999992"/>
    <n v="5.3699999999999992"/>
    <s v="Robusta"/>
    <x v="2"/>
    <x v="0"/>
  </r>
  <r>
    <s v="IYO-10245-081"/>
    <x v="242"/>
    <s v="57145-31023-FK"/>
    <s v="E-M-2.5"/>
    <n v="3"/>
    <x v="266"/>
    <s v=""/>
    <x v="0"/>
    <x v="1"/>
    <s v="M"/>
    <x v="2"/>
    <n v="31.624999999999996"/>
    <n v="94.874999999999986"/>
    <s v="Excelsa"/>
    <x v="0"/>
    <x v="1"/>
  </r>
  <r>
    <s v="BYZ-39669-954"/>
    <x v="243"/>
    <s v="66408-53777-VE"/>
    <s v="L-L-2.5"/>
    <n v="1"/>
    <x v="267"/>
    <s v=""/>
    <x v="0"/>
    <x v="3"/>
    <s v="L"/>
    <x v="2"/>
    <n v="36.454999999999998"/>
    <n v="36.454999999999998"/>
    <s v="Liberica"/>
    <x v="1"/>
    <x v="1"/>
  </r>
  <r>
    <s v="EFB-72860-209"/>
    <x v="244"/>
    <s v="53035-99701-WG"/>
    <s v="A-M-0.2"/>
    <n v="4"/>
    <x v="268"/>
    <s v="bmergue7y@umn.edu"/>
    <x v="0"/>
    <x v="2"/>
    <s v="M"/>
    <x v="3"/>
    <n v="3.375"/>
    <n v="13.5"/>
    <s v="Arabica"/>
    <x v="0"/>
    <x v="0"/>
  </r>
  <r>
    <s v="GMM-72397-378"/>
    <x v="245"/>
    <s v="45899-92796-EI"/>
    <s v="R-L-0.2"/>
    <n v="4"/>
    <x v="269"/>
    <s v="kpatise7z@jigsy.com"/>
    <x v="0"/>
    <x v="0"/>
    <s v="L"/>
    <x v="3"/>
    <n v="3.5849999999999995"/>
    <n v="14.339999999999998"/>
    <s v="Robusta"/>
    <x v="1"/>
    <x v="1"/>
  </r>
  <r>
    <s v="LYP-52345-883"/>
    <x v="246"/>
    <s v="17649-28133-PY"/>
    <s v="E-M-0.5"/>
    <n v="1"/>
    <x v="270"/>
    <s v=""/>
    <x v="1"/>
    <x v="1"/>
    <s v="M"/>
    <x v="1"/>
    <n v="8.25"/>
    <n v="8.25"/>
    <s v="Excelsa"/>
    <x v="0"/>
    <x v="0"/>
  </r>
  <r>
    <s v="DFK-35846-692"/>
    <x v="247"/>
    <s v="49612-33852-CN"/>
    <s v="R-D-0.2"/>
    <n v="5"/>
    <x v="271"/>
    <s v=""/>
    <x v="0"/>
    <x v="0"/>
    <s v="D"/>
    <x v="3"/>
    <n v="2.6849999999999996"/>
    <n v="13.424999999999997"/>
    <s v="Robusta"/>
    <x v="2"/>
    <x v="0"/>
  </r>
  <r>
    <s v="XAH-93337-609"/>
    <x v="248"/>
    <s v="66976-43829-YG"/>
    <s v="A-D-1"/>
    <n v="5"/>
    <x v="272"/>
    <s v="dduke82@vkontakte.ru"/>
    <x v="0"/>
    <x v="2"/>
    <s v="D"/>
    <x v="0"/>
    <n v="9.9499999999999993"/>
    <n v="49.75"/>
    <s v="Arabica"/>
    <x v="2"/>
    <x v="1"/>
  </r>
  <r>
    <s v="QKA-72582-644"/>
    <x v="249"/>
    <s v="64852-04619-XZ"/>
    <s v="E-M-0.5"/>
    <n v="2"/>
    <x v="273"/>
    <s v=""/>
    <x v="1"/>
    <x v="1"/>
    <s v="M"/>
    <x v="1"/>
    <n v="8.25"/>
    <n v="16.5"/>
    <s v="Excelsa"/>
    <x v="0"/>
    <x v="1"/>
  </r>
  <r>
    <s v="ZDK-84567-102"/>
    <x v="250"/>
    <s v="58690-31815-VY"/>
    <s v="A-D-0.5"/>
    <n v="3"/>
    <x v="274"/>
    <s v="ihussey84@mapy.cz"/>
    <x v="0"/>
    <x v="2"/>
    <s v="D"/>
    <x v="1"/>
    <n v="5.97"/>
    <n v="17.91"/>
    <s v="Arabica"/>
    <x v="2"/>
    <x v="1"/>
  </r>
  <r>
    <s v="WAV-38301-984"/>
    <x v="251"/>
    <s v="62863-81239-DT"/>
    <s v="A-D-0.5"/>
    <n v="5"/>
    <x v="275"/>
    <s v="cpinkerton85@upenn.edu"/>
    <x v="0"/>
    <x v="2"/>
    <s v="D"/>
    <x v="1"/>
    <n v="5.97"/>
    <n v="29.849999999999998"/>
    <s v="Arabica"/>
    <x v="2"/>
    <x v="1"/>
  </r>
  <r>
    <s v="KZR-33023-209"/>
    <x v="177"/>
    <s v="21177-40725-CF"/>
    <s v="E-L-1"/>
    <n v="3"/>
    <x v="276"/>
    <s v=""/>
    <x v="0"/>
    <x v="1"/>
    <s v="L"/>
    <x v="0"/>
    <n v="14.85"/>
    <n v="44.55"/>
    <s v="Excelsa"/>
    <x v="1"/>
    <x v="1"/>
  </r>
  <r>
    <s v="ULM-49433-003"/>
    <x v="252"/>
    <s v="99421-80253-UI"/>
    <s v="E-M-1"/>
    <n v="2"/>
    <x v="277"/>
    <s v=""/>
    <x v="0"/>
    <x v="1"/>
    <s v="M"/>
    <x v="0"/>
    <n v="13.75"/>
    <n v="27.5"/>
    <s v="Excelsa"/>
    <x v="0"/>
    <x v="1"/>
  </r>
  <r>
    <s v="SIB-83254-136"/>
    <x v="253"/>
    <s v="45315-50206-DK"/>
    <s v="R-M-0.5"/>
    <n v="6"/>
    <x v="278"/>
    <s v="dvizor88@furl.net"/>
    <x v="0"/>
    <x v="0"/>
    <s v="M"/>
    <x v="1"/>
    <n v="5.97"/>
    <n v="35.82"/>
    <s v="Robusta"/>
    <x v="0"/>
    <x v="0"/>
  </r>
  <r>
    <s v="NOK-50349-551"/>
    <x v="254"/>
    <s v="09595-95726-OV"/>
    <s v="R-D-0.5"/>
    <n v="3"/>
    <x v="279"/>
    <s v="esedgebeer89@oaic.gov.au"/>
    <x v="0"/>
    <x v="0"/>
    <s v="D"/>
    <x v="1"/>
    <n v="5.3699999999999992"/>
    <n v="16.11"/>
    <s v="Robusta"/>
    <x v="2"/>
    <x v="0"/>
  </r>
  <r>
    <s v="YIS-96268-844"/>
    <x v="227"/>
    <s v="60221-67036-TD"/>
    <s v="E-L-0.2"/>
    <n v="6"/>
    <x v="280"/>
    <s v="klestrange8a@lulu.com"/>
    <x v="0"/>
    <x v="1"/>
    <s v="L"/>
    <x v="3"/>
    <n v="4.4550000000000001"/>
    <n v="26.73"/>
    <s v="Excelsa"/>
    <x v="1"/>
    <x v="0"/>
  </r>
  <r>
    <s v="CXI-04933-855"/>
    <x v="110"/>
    <s v="62923-29397-KX"/>
    <s v="E-L-2.5"/>
    <n v="6"/>
    <x v="281"/>
    <s v="ltanti8b@techcrunch.com"/>
    <x v="0"/>
    <x v="1"/>
    <s v="L"/>
    <x v="2"/>
    <n v="34.154999999999994"/>
    <n v="204.92999999999995"/>
    <s v="Excelsa"/>
    <x v="1"/>
    <x v="0"/>
  </r>
  <r>
    <s v="IZU-90429-382"/>
    <x v="182"/>
    <s v="33011-52383-BA"/>
    <s v="A-L-1"/>
    <n v="3"/>
    <x v="282"/>
    <s v="ade8c@1und1.de"/>
    <x v="0"/>
    <x v="2"/>
    <s v="L"/>
    <x v="0"/>
    <n v="12.95"/>
    <n v="38.849999999999994"/>
    <s v="Arabica"/>
    <x v="1"/>
    <x v="0"/>
  </r>
  <r>
    <s v="WIT-40912-783"/>
    <x v="255"/>
    <s v="86768-91598-FA"/>
    <s v="L-D-0.2"/>
    <n v="4"/>
    <x v="283"/>
    <s v="tjedrachowicz8d@acquirethisname.com"/>
    <x v="0"/>
    <x v="3"/>
    <s v="D"/>
    <x v="3"/>
    <n v="3.8849999999999998"/>
    <n v="15.54"/>
    <s v="Liberica"/>
    <x v="2"/>
    <x v="0"/>
  </r>
  <r>
    <s v="PSD-57291-590"/>
    <x v="256"/>
    <s v="37191-12203-MX"/>
    <s v="A-M-0.5"/>
    <n v="1"/>
    <x v="284"/>
    <s v="pstonner8e@moonfruit.com"/>
    <x v="0"/>
    <x v="2"/>
    <s v="M"/>
    <x v="1"/>
    <n v="6.75"/>
    <n v="6.75"/>
    <s v="Arabica"/>
    <x v="0"/>
    <x v="1"/>
  </r>
  <r>
    <s v="GOI-41472-677"/>
    <x v="3"/>
    <s v="16545-76328-JY"/>
    <s v="E-D-2.5"/>
    <n v="4"/>
    <x v="285"/>
    <s v="dtingly8f@goo.ne.jp"/>
    <x v="0"/>
    <x v="1"/>
    <s v="D"/>
    <x v="2"/>
    <n v="27.945"/>
    <n v="111.78"/>
    <s v="Excelsa"/>
    <x v="2"/>
    <x v="0"/>
  </r>
  <r>
    <s v="KTX-17944-494"/>
    <x v="257"/>
    <s v="74330-29286-RO"/>
    <s v="A-L-0.2"/>
    <n v="1"/>
    <x v="286"/>
    <s v="crushe8n@about.me"/>
    <x v="0"/>
    <x v="2"/>
    <s v="L"/>
    <x v="3"/>
    <n v="3.8849999999999998"/>
    <n v="3.8849999999999998"/>
    <s v="Arabica"/>
    <x v="1"/>
    <x v="0"/>
  </r>
  <r>
    <s v="RDM-99811-230"/>
    <x v="258"/>
    <s v="22349-47389-GY"/>
    <s v="L-M-0.2"/>
    <n v="5"/>
    <x v="287"/>
    <s v="bchecci8h@usa.gov"/>
    <x v="2"/>
    <x v="3"/>
    <s v="M"/>
    <x v="3"/>
    <n v="4.3650000000000002"/>
    <n v="21.825000000000003"/>
    <s v="Liberica"/>
    <x v="0"/>
    <x v="1"/>
  </r>
  <r>
    <s v="JTU-55897-581"/>
    <x v="259"/>
    <s v="70290-38099-GB"/>
    <s v="R-M-0.2"/>
    <n v="5"/>
    <x v="288"/>
    <s v="jbagot8i@mac.com"/>
    <x v="0"/>
    <x v="0"/>
    <s v="M"/>
    <x v="3"/>
    <n v="2.9849999999999999"/>
    <n v="14.924999999999999"/>
    <s v="Robusta"/>
    <x v="0"/>
    <x v="1"/>
  </r>
  <r>
    <s v="CRK-07584-240"/>
    <x v="260"/>
    <s v="18741-72071-PP"/>
    <s v="A-M-1"/>
    <n v="3"/>
    <x v="289"/>
    <s v="ebeeble8j@soundcloud.com"/>
    <x v="0"/>
    <x v="2"/>
    <s v="M"/>
    <x v="0"/>
    <n v="11.25"/>
    <n v="33.75"/>
    <s v="Arabica"/>
    <x v="0"/>
    <x v="0"/>
  </r>
  <r>
    <s v="MKE-75518-399"/>
    <x v="261"/>
    <s v="62588-82624-II"/>
    <s v="A-M-1"/>
    <n v="3"/>
    <x v="290"/>
    <s v="cfluin8k@flickr.com"/>
    <x v="2"/>
    <x v="2"/>
    <s v="M"/>
    <x v="0"/>
    <n v="11.25"/>
    <n v="33.75"/>
    <s v="Arabica"/>
    <x v="0"/>
    <x v="1"/>
  </r>
  <r>
    <s v="AEL-51169-725"/>
    <x v="262"/>
    <s v="37430-29579-HD"/>
    <s v="L-M-0.2"/>
    <n v="6"/>
    <x v="291"/>
    <s v="ebletsor8l@vinaora.com"/>
    <x v="0"/>
    <x v="3"/>
    <s v="M"/>
    <x v="3"/>
    <n v="4.3650000000000002"/>
    <n v="26.19"/>
    <s v="Liberica"/>
    <x v="0"/>
    <x v="0"/>
  </r>
  <r>
    <s v="ZGM-83108-823"/>
    <x v="263"/>
    <s v="84132-22322-QT"/>
    <s v="E-L-1"/>
    <n v="1"/>
    <x v="292"/>
    <s v="pbrydell8m@bloglovin.com"/>
    <x v="1"/>
    <x v="1"/>
    <s v="L"/>
    <x v="0"/>
    <n v="14.85"/>
    <n v="14.85"/>
    <s v="Excelsa"/>
    <x v="1"/>
    <x v="1"/>
  </r>
  <r>
    <s v="JBP-78754-392"/>
    <x v="212"/>
    <s v="74330-29286-RO"/>
    <s v="E-M-2.5"/>
    <n v="6"/>
    <x v="286"/>
    <s v="crushe8n@about.me"/>
    <x v="0"/>
    <x v="1"/>
    <s v="M"/>
    <x v="2"/>
    <n v="31.624999999999996"/>
    <n v="189.74999999999997"/>
    <s v="Excelsa"/>
    <x v="0"/>
    <x v="0"/>
  </r>
  <r>
    <s v="RNH-54912-747"/>
    <x v="187"/>
    <s v="37445-17791-NQ"/>
    <s v="R-M-0.5"/>
    <n v="1"/>
    <x v="293"/>
    <s v="nleethem8o@mac.com"/>
    <x v="0"/>
    <x v="0"/>
    <s v="M"/>
    <x v="1"/>
    <n v="5.97"/>
    <n v="5.97"/>
    <s v="Robusta"/>
    <x v="0"/>
    <x v="0"/>
  </r>
  <r>
    <s v="JDS-33440-914"/>
    <x v="248"/>
    <s v="58511-10548-ZU"/>
    <s v="R-M-1"/>
    <n v="3"/>
    <x v="294"/>
    <s v="anesfield8p@people.com.cn"/>
    <x v="2"/>
    <x v="0"/>
    <s v="M"/>
    <x v="0"/>
    <n v="9.9499999999999993"/>
    <n v="29.849999999999998"/>
    <s v="Robusta"/>
    <x v="0"/>
    <x v="0"/>
  </r>
  <r>
    <s v="SYX-48878-182"/>
    <x v="264"/>
    <s v="47725-34771-FJ"/>
    <s v="R-D-1"/>
    <n v="5"/>
    <x v="295"/>
    <s v=""/>
    <x v="0"/>
    <x v="0"/>
    <s v="D"/>
    <x v="0"/>
    <n v="8.9499999999999993"/>
    <n v="44.75"/>
    <s v="Robusta"/>
    <x v="2"/>
    <x v="1"/>
  </r>
  <r>
    <s v="ZGD-94763-868"/>
    <x v="265"/>
    <s v="53086-67334-KT"/>
    <s v="E-L-2.5"/>
    <n v="1"/>
    <x v="296"/>
    <s v="mbrockway8r@ibm.com"/>
    <x v="0"/>
    <x v="1"/>
    <s v="L"/>
    <x v="2"/>
    <n v="34.154999999999994"/>
    <n v="34.154999999999994"/>
    <s v="Excelsa"/>
    <x v="1"/>
    <x v="0"/>
  </r>
  <r>
    <s v="CZY-70361-485"/>
    <x v="266"/>
    <s v="83308-82257-UN"/>
    <s v="E-L-2.5"/>
    <n v="6"/>
    <x v="297"/>
    <s v="nlush8s@dedecms.com"/>
    <x v="1"/>
    <x v="1"/>
    <s v="L"/>
    <x v="2"/>
    <n v="34.154999999999994"/>
    <n v="204.92999999999995"/>
    <s v="Excelsa"/>
    <x v="1"/>
    <x v="1"/>
  </r>
  <r>
    <s v="RJR-12175-899"/>
    <x v="267"/>
    <s v="37274-08534-FM"/>
    <s v="E-D-0.5"/>
    <n v="3"/>
    <x v="298"/>
    <s v="smcmillian8t@csmonitor.com"/>
    <x v="0"/>
    <x v="1"/>
    <s v="D"/>
    <x v="1"/>
    <n v="7.29"/>
    <n v="21.87"/>
    <s v="Excelsa"/>
    <x v="2"/>
    <x v="1"/>
  </r>
  <r>
    <s v="ELB-07929-407"/>
    <x v="204"/>
    <s v="54004-04664-AA"/>
    <s v="A-M-2.5"/>
    <n v="2"/>
    <x v="299"/>
    <s v="tbennison8u@google.cn"/>
    <x v="0"/>
    <x v="2"/>
    <s v="M"/>
    <x v="2"/>
    <n v="25.874999999999996"/>
    <n v="51.749999999999993"/>
    <s v="Arabica"/>
    <x v="0"/>
    <x v="0"/>
  </r>
  <r>
    <s v="UJQ-54441-340"/>
    <x v="268"/>
    <s v="26822-19510-SD"/>
    <s v="E-M-0.2"/>
    <n v="2"/>
    <x v="300"/>
    <s v="gtweed8v@yolasite.com"/>
    <x v="0"/>
    <x v="1"/>
    <s v="M"/>
    <x v="3"/>
    <n v="4.125"/>
    <n v="8.25"/>
    <s v="Excelsa"/>
    <x v="0"/>
    <x v="0"/>
  </r>
  <r>
    <s v="UJQ-54441-340"/>
    <x v="268"/>
    <s v="26822-19510-SD"/>
    <s v="A-L-0.2"/>
    <n v="5"/>
    <x v="300"/>
    <s v="gtweed8v@yolasite.com"/>
    <x v="0"/>
    <x v="2"/>
    <s v="L"/>
    <x v="3"/>
    <n v="3.8849999999999998"/>
    <n v="19.424999999999997"/>
    <s v="Arabica"/>
    <x v="1"/>
    <x v="0"/>
  </r>
  <r>
    <s v="OWY-43108-475"/>
    <x v="269"/>
    <s v="06432-73165-ML"/>
    <s v="A-M-0.2"/>
    <n v="6"/>
    <x v="301"/>
    <s v="ggoggin8x@wix.com"/>
    <x v="1"/>
    <x v="2"/>
    <s v="M"/>
    <x v="3"/>
    <n v="3.375"/>
    <n v="20.25"/>
    <s v="Arabica"/>
    <x v="0"/>
    <x v="0"/>
  </r>
  <r>
    <s v="GNO-91911-159"/>
    <x v="145"/>
    <s v="96503-31833-CW"/>
    <s v="L-D-0.5"/>
    <n v="3"/>
    <x v="302"/>
    <s v="sjeyness8y@biglobe.ne.jp"/>
    <x v="1"/>
    <x v="3"/>
    <s v="D"/>
    <x v="1"/>
    <n v="7.77"/>
    <n v="23.31"/>
    <s v="Liberica"/>
    <x v="2"/>
    <x v="1"/>
  </r>
  <r>
    <s v="CNY-06284-066"/>
    <x v="270"/>
    <s v="63985-64148-MG"/>
    <s v="E-D-0.2"/>
    <n v="5"/>
    <x v="303"/>
    <s v="dbonhome8z@shinystat.com"/>
    <x v="0"/>
    <x v="1"/>
    <s v="D"/>
    <x v="3"/>
    <n v="3.645"/>
    <n v="18.225000000000001"/>
    <s v="Excelsa"/>
    <x v="2"/>
    <x v="0"/>
  </r>
  <r>
    <s v="OQS-46321-904"/>
    <x v="271"/>
    <s v="19597-91185-CM"/>
    <s v="E-M-1"/>
    <n v="1"/>
    <x v="304"/>
    <s v=""/>
    <x v="0"/>
    <x v="1"/>
    <s v="M"/>
    <x v="0"/>
    <n v="13.75"/>
    <n v="13.75"/>
    <s v="Excelsa"/>
    <x v="0"/>
    <x v="1"/>
  </r>
  <r>
    <s v="IBW-87442-480"/>
    <x v="272"/>
    <s v="79814-23626-JR"/>
    <s v="A-L-2.5"/>
    <n v="1"/>
    <x v="305"/>
    <s v="tle91@epa.gov"/>
    <x v="0"/>
    <x v="2"/>
    <s v="L"/>
    <x v="2"/>
    <n v="29.784999999999997"/>
    <n v="29.784999999999997"/>
    <s v="Arabica"/>
    <x v="1"/>
    <x v="0"/>
  </r>
  <r>
    <s v="DGZ-82537-477"/>
    <x v="252"/>
    <s v="43439-94003-DW"/>
    <s v="R-D-1"/>
    <n v="5"/>
    <x v="306"/>
    <s v=""/>
    <x v="0"/>
    <x v="0"/>
    <s v="D"/>
    <x v="0"/>
    <n v="8.9499999999999993"/>
    <n v="44.75"/>
    <s v="Robusta"/>
    <x v="2"/>
    <x v="1"/>
  </r>
  <r>
    <s v="LPS-39089-432"/>
    <x v="273"/>
    <s v="97655-45555-LI"/>
    <s v="R-D-1"/>
    <n v="5"/>
    <x v="307"/>
    <s v="balldridge93@yandex.ru"/>
    <x v="0"/>
    <x v="0"/>
    <s v="D"/>
    <x v="0"/>
    <n v="8.9499999999999993"/>
    <n v="44.75"/>
    <s v="Robusta"/>
    <x v="2"/>
    <x v="0"/>
  </r>
  <r>
    <s v="MQU-86100-929"/>
    <x v="274"/>
    <s v="64418-01720-VW"/>
    <s v="L-L-0.5"/>
    <n v="4"/>
    <x v="308"/>
    <s v=""/>
    <x v="0"/>
    <x v="3"/>
    <s v="L"/>
    <x v="1"/>
    <n v="9.51"/>
    <n v="38.04"/>
    <s v="Liberica"/>
    <x v="1"/>
    <x v="0"/>
  </r>
  <r>
    <s v="XUR-14132-391"/>
    <x v="275"/>
    <s v="96836-09258-RI"/>
    <s v="R-D-0.5"/>
    <n v="4"/>
    <x v="309"/>
    <s v="lgoodger95@guardian.co.uk"/>
    <x v="0"/>
    <x v="0"/>
    <s v="D"/>
    <x v="1"/>
    <n v="5.3699999999999992"/>
    <n v="21.479999999999997"/>
    <s v="Robusta"/>
    <x v="2"/>
    <x v="0"/>
  </r>
  <r>
    <s v="OVI-27064-381"/>
    <x v="276"/>
    <s v="37274-08534-FM"/>
    <s v="R-D-0.5"/>
    <n v="3"/>
    <x v="298"/>
    <s v="smcmillian8t@csmonitor.com"/>
    <x v="0"/>
    <x v="0"/>
    <s v="D"/>
    <x v="1"/>
    <n v="5.3699999999999992"/>
    <n v="16.11"/>
    <s v="Robusta"/>
    <x v="2"/>
    <x v="1"/>
  </r>
  <r>
    <s v="SHP-17012-870"/>
    <x v="277"/>
    <s v="69529-07533-CV"/>
    <s v="R-M-2.5"/>
    <n v="1"/>
    <x v="310"/>
    <s v="cdrewett97@wikipedia.org"/>
    <x v="0"/>
    <x v="0"/>
    <s v="M"/>
    <x v="2"/>
    <n v="22.884999999999998"/>
    <n v="22.884999999999998"/>
    <s v="Robusta"/>
    <x v="0"/>
    <x v="0"/>
  </r>
  <r>
    <s v="FDY-03414-903"/>
    <x v="278"/>
    <s v="94840-49457-UD"/>
    <s v="A-D-0.5"/>
    <n v="3"/>
    <x v="311"/>
    <s v="qparsons98@blogtalkradio.com"/>
    <x v="0"/>
    <x v="2"/>
    <s v="D"/>
    <x v="1"/>
    <n v="5.97"/>
    <n v="17.91"/>
    <s v="Arabica"/>
    <x v="2"/>
    <x v="0"/>
  </r>
  <r>
    <s v="WXT-85291-143"/>
    <x v="279"/>
    <s v="81414-81273-DK"/>
    <s v="R-M-0.5"/>
    <n v="4"/>
    <x v="312"/>
    <s v="vceely99@auda.org.au"/>
    <x v="0"/>
    <x v="0"/>
    <s v="M"/>
    <x v="1"/>
    <n v="5.97"/>
    <n v="23.88"/>
    <s v="Robusta"/>
    <x v="0"/>
    <x v="0"/>
  </r>
  <r>
    <s v="QNP-18893-547"/>
    <x v="280"/>
    <s v="76930-61689-CH"/>
    <s v="R-L-1"/>
    <n v="5"/>
    <x v="313"/>
    <s v=""/>
    <x v="0"/>
    <x v="0"/>
    <s v="L"/>
    <x v="0"/>
    <n v="11.95"/>
    <n v="59.75"/>
    <s v="Robusta"/>
    <x v="1"/>
    <x v="1"/>
  </r>
  <r>
    <s v="DOH-92927-530"/>
    <x v="281"/>
    <s v="12839-56537-TQ"/>
    <s v="L-L-0.2"/>
    <n v="6"/>
    <x v="314"/>
    <s v="cvasiliev9b@discuz.net"/>
    <x v="0"/>
    <x v="3"/>
    <s v="L"/>
    <x v="3"/>
    <n v="4.7549999999999999"/>
    <n v="28.53"/>
    <s v="Liberica"/>
    <x v="1"/>
    <x v="0"/>
  </r>
  <r>
    <s v="HGJ-82768-173"/>
    <x v="282"/>
    <s v="62741-01322-HU"/>
    <s v="A-M-1"/>
    <n v="4"/>
    <x v="315"/>
    <s v="tomoylan9c@liveinternet.ru"/>
    <x v="2"/>
    <x v="2"/>
    <s v="M"/>
    <x v="0"/>
    <n v="11.25"/>
    <n v="45"/>
    <s v="Arabica"/>
    <x v="0"/>
    <x v="1"/>
  </r>
  <r>
    <s v="YPT-95383-088"/>
    <x v="283"/>
    <s v="43439-94003-DW"/>
    <s v="E-D-2.5"/>
    <n v="2"/>
    <x v="306"/>
    <s v=""/>
    <x v="0"/>
    <x v="1"/>
    <s v="D"/>
    <x v="2"/>
    <n v="27.945"/>
    <n v="55.89"/>
    <s v="Excelsa"/>
    <x v="2"/>
    <x v="1"/>
  </r>
  <r>
    <s v="OYH-16533-767"/>
    <x v="284"/>
    <s v="44932-34838-RM"/>
    <s v="E-L-1"/>
    <n v="4"/>
    <x v="316"/>
    <s v="wfetherston9e@constantcontact.com"/>
    <x v="0"/>
    <x v="1"/>
    <s v="L"/>
    <x v="0"/>
    <n v="14.85"/>
    <n v="59.4"/>
    <s v="Excelsa"/>
    <x v="1"/>
    <x v="1"/>
  </r>
  <r>
    <s v="DWW-28642-549"/>
    <x v="285"/>
    <s v="91181-19412-RQ"/>
    <s v="E-D-0.2"/>
    <n v="2"/>
    <x v="317"/>
    <s v="erasmus9f@techcrunch.com"/>
    <x v="0"/>
    <x v="1"/>
    <s v="D"/>
    <x v="3"/>
    <n v="3.645"/>
    <n v="7.29"/>
    <s v="Excelsa"/>
    <x v="2"/>
    <x v="0"/>
  </r>
  <r>
    <s v="CGO-79583-871"/>
    <x v="286"/>
    <s v="37182-54930-XC"/>
    <s v="E-D-0.5"/>
    <n v="1"/>
    <x v="318"/>
    <s v="wgiorgioni9g@wikipedia.org"/>
    <x v="0"/>
    <x v="1"/>
    <s v="D"/>
    <x v="1"/>
    <n v="7.29"/>
    <n v="7.29"/>
    <s v="Excelsa"/>
    <x v="2"/>
    <x v="0"/>
  </r>
  <r>
    <s v="TFY-52090-386"/>
    <x v="287"/>
    <s v="08613-17327-XT"/>
    <s v="E-L-0.5"/>
    <n v="2"/>
    <x v="319"/>
    <s v="lscargle9h@myspace.com"/>
    <x v="0"/>
    <x v="1"/>
    <s v="L"/>
    <x v="1"/>
    <n v="8.91"/>
    <n v="17.82"/>
    <s v="Excelsa"/>
    <x v="1"/>
    <x v="1"/>
  </r>
  <r>
    <s v="TFY-52090-386"/>
    <x v="287"/>
    <s v="08613-17327-XT"/>
    <s v="L-D-0.5"/>
    <n v="5"/>
    <x v="319"/>
    <s v="lscargle9h@myspace.com"/>
    <x v="0"/>
    <x v="3"/>
    <s v="D"/>
    <x v="1"/>
    <n v="7.77"/>
    <n v="38.849999999999994"/>
    <s v="Liberica"/>
    <x v="2"/>
    <x v="1"/>
  </r>
  <r>
    <s v="NYY-73968-094"/>
    <x v="288"/>
    <s v="70451-38048-AH"/>
    <s v="R-D-0.5"/>
    <n v="6"/>
    <x v="320"/>
    <s v="nclimance9j@europa.eu"/>
    <x v="0"/>
    <x v="0"/>
    <s v="D"/>
    <x v="1"/>
    <n v="5.3699999999999992"/>
    <n v="32.22"/>
    <s v="Robusta"/>
    <x v="2"/>
    <x v="1"/>
  </r>
  <r>
    <s v="QEY-71761-460"/>
    <x v="250"/>
    <s v="35442-75769-PL"/>
    <s v="R-M-1"/>
    <n v="2"/>
    <x v="321"/>
    <s v=""/>
    <x v="1"/>
    <x v="0"/>
    <s v="M"/>
    <x v="0"/>
    <n v="9.9499999999999993"/>
    <n v="19.899999999999999"/>
    <s v="Robusta"/>
    <x v="0"/>
    <x v="0"/>
  </r>
  <r>
    <s v="GKQ-82603-910"/>
    <x v="289"/>
    <s v="83737-56117-JE"/>
    <s v="R-L-1"/>
    <n v="5"/>
    <x v="322"/>
    <s v="asnazle9l@oracle.com"/>
    <x v="0"/>
    <x v="0"/>
    <s v="L"/>
    <x v="0"/>
    <n v="11.95"/>
    <n v="59.75"/>
    <s v="Robusta"/>
    <x v="1"/>
    <x v="1"/>
  </r>
  <r>
    <s v="IOB-32673-745"/>
    <x v="290"/>
    <s v="07095-81281-NJ"/>
    <s v="A-L-0.5"/>
    <n v="3"/>
    <x v="323"/>
    <s v="rworg9m@arstechnica.com"/>
    <x v="0"/>
    <x v="2"/>
    <s v="L"/>
    <x v="1"/>
    <n v="7.77"/>
    <n v="23.31"/>
    <s v="Arabica"/>
    <x v="1"/>
    <x v="0"/>
  </r>
  <r>
    <s v="YAU-98893-150"/>
    <x v="291"/>
    <s v="77043-48851-HG"/>
    <s v="L-M-1"/>
    <n v="3"/>
    <x v="324"/>
    <s v="ldanes9n@umn.edu"/>
    <x v="0"/>
    <x v="3"/>
    <s v="M"/>
    <x v="0"/>
    <n v="14.55"/>
    <n v="43.650000000000006"/>
    <s v="Liberica"/>
    <x v="0"/>
    <x v="1"/>
  </r>
  <r>
    <s v="XNM-14163-951"/>
    <x v="292"/>
    <s v="78224-60622-KH"/>
    <s v="E-L-2.5"/>
    <n v="6"/>
    <x v="325"/>
    <s v="skeynd9o@narod.ru"/>
    <x v="0"/>
    <x v="1"/>
    <s v="L"/>
    <x v="2"/>
    <n v="34.154999999999994"/>
    <n v="204.92999999999995"/>
    <s v="Excelsa"/>
    <x v="1"/>
    <x v="1"/>
  </r>
  <r>
    <s v="JPB-45297-000"/>
    <x v="293"/>
    <s v="83105-86631-IU"/>
    <s v="R-L-0.2"/>
    <n v="4"/>
    <x v="326"/>
    <s v="ddaveridge9p@arstechnica.com"/>
    <x v="0"/>
    <x v="0"/>
    <s v="L"/>
    <x v="3"/>
    <n v="3.5849999999999995"/>
    <n v="14.339999999999998"/>
    <s v="Robusta"/>
    <x v="1"/>
    <x v="1"/>
  </r>
  <r>
    <s v="MOU-74341-266"/>
    <x v="294"/>
    <s v="99358-65399-TC"/>
    <s v="A-D-0.5"/>
    <n v="4"/>
    <x v="327"/>
    <s v="jawdry9q@utexas.edu"/>
    <x v="0"/>
    <x v="2"/>
    <s v="D"/>
    <x v="1"/>
    <n v="5.97"/>
    <n v="23.88"/>
    <s v="Arabica"/>
    <x v="2"/>
    <x v="1"/>
  </r>
  <r>
    <s v="DHJ-87461-571"/>
    <x v="295"/>
    <s v="94525-76037-JP"/>
    <s v="A-M-1"/>
    <n v="2"/>
    <x v="328"/>
    <s v="eryles9r@fastcompany.com"/>
    <x v="0"/>
    <x v="2"/>
    <s v="M"/>
    <x v="0"/>
    <n v="11.25"/>
    <n v="22.5"/>
    <s v="Arabica"/>
    <x v="0"/>
    <x v="1"/>
  </r>
  <r>
    <s v="DKM-97676-850"/>
    <x v="296"/>
    <s v="43439-94003-DW"/>
    <s v="E-D-0.5"/>
    <n v="5"/>
    <x v="306"/>
    <s v=""/>
    <x v="0"/>
    <x v="1"/>
    <s v="D"/>
    <x v="1"/>
    <n v="7.29"/>
    <n v="36.450000000000003"/>
    <s v="Excelsa"/>
    <x v="2"/>
    <x v="1"/>
  </r>
  <r>
    <s v="UEB-09112-118"/>
    <x v="297"/>
    <s v="82718-93677-XO"/>
    <s v="A-M-0.5"/>
    <n v="4"/>
    <x v="329"/>
    <s v=""/>
    <x v="0"/>
    <x v="2"/>
    <s v="M"/>
    <x v="1"/>
    <n v="6.75"/>
    <n v="27"/>
    <s v="Arabica"/>
    <x v="0"/>
    <x v="0"/>
  </r>
  <r>
    <s v="ORZ-67699-748"/>
    <x v="298"/>
    <s v="44708-78241-DF"/>
    <s v="A-M-2.5"/>
    <n v="6"/>
    <x v="330"/>
    <s v="jcaldicott9u@usda.gov"/>
    <x v="0"/>
    <x v="2"/>
    <s v="M"/>
    <x v="2"/>
    <n v="25.874999999999996"/>
    <n v="155.24999999999997"/>
    <s v="Arabica"/>
    <x v="0"/>
    <x v="1"/>
  </r>
  <r>
    <s v="JXP-28398-485"/>
    <x v="299"/>
    <s v="23039-93032-FN"/>
    <s v="A-D-2.5"/>
    <n v="5"/>
    <x v="331"/>
    <s v="mvedmore9v@a8.net"/>
    <x v="0"/>
    <x v="2"/>
    <s v="D"/>
    <x v="2"/>
    <n v="22.884999999999998"/>
    <n v="114.42499999999998"/>
    <s v="Arabica"/>
    <x v="2"/>
    <x v="0"/>
  </r>
  <r>
    <s v="WWH-92259-198"/>
    <x v="300"/>
    <s v="35256-12529-FT"/>
    <s v="L-D-1"/>
    <n v="4"/>
    <x v="332"/>
    <s v="wromao9w@chronoengine.com"/>
    <x v="0"/>
    <x v="3"/>
    <s v="D"/>
    <x v="0"/>
    <n v="12.95"/>
    <n v="51.8"/>
    <s v="Liberica"/>
    <x v="2"/>
    <x v="0"/>
  </r>
  <r>
    <s v="FLR-82914-153"/>
    <x v="301"/>
    <s v="86100-33488-WP"/>
    <s v="A-M-2.5"/>
    <n v="6"/>
    <x v="333"/>
    <s v=""/>
    <x v="0"/>
    <x v="2"/>
    <s v="M"/>
    <x v="2"/>
    <n v="25.874999999999996"/>
    <n v="155.24999999999997"/>
    <s v="Arabica"/>
    <x v="0"/>
    <x v="1"/>
  </r>
  <r>
    <s v="AMB-93600-000"/>
    <x v="302"/>
    <s v="64435-53100-WM"/>
    <s v="A-L-2.5"/>
    <n v="1"/>
    <x v="334"/>
    <s v="tcotmore9y@amazonaws.com"/>
    <x v="0"/>
    <x v="2"/>
    <s v="L"/>
    <x v="2"/>
    <n v="29.784999999999997"/>
    <n v="29.784999999999997"/>
    <s v="Arabica"/>
    <x v="1"/>
    <x v="1"/>
  </r>
  <r>
    <s v="FEP-36895-658"/>
    <x v="303"/>
    <s v="44699-43836-UH"/>
    <s v="R-L-0.2"/>
    <n v="6"/>
    <x v="335"/>
    <s v="yskipsey9z@spotify.com"/>
    <x v="2"/>
    <x v="0"/>
    <s v="L"/>
    <x v="3"/>
    <n v="3.5849999999999995"/>
    <n v="21.509999999999998"/>
    <s v="Robusta"/>
    <x v="1"/>
    <x v="1"/>
  </r>
  <r>
    <s v="RXW-91413-276"/>
    <x v="304"/>
    <s v="29588-35679-RG"/>
    <s v="R-D-2.5"/>
    <n v="2"/>
    <x v="336"/>
    <s v="ncorpsa0@gmpg.org"/>
    <x v="0"/>
    <x v="0"/>
    <s v="D"/>
    <x v="2"/>
    <n v="20.584999999999997"/>
    <n v="41.169999999999995"/>
    <s v="Robusta"/>
    <x v="2"/>
    <x v="1"/>
  </r>
  <r>
    <s v="RXW-91413-276"/>
    <x v="304"/>
    <s v="29588-35679-RG"/>
    <s v="R-M-0.5"/>
    <n v="1"/>
    <x v="336"/>
    <s v="ncorpsa0@gmpg.org"/>
    <x v="0"/>
    <x v="0"/>
    <s v="M"/>
    <x v="1"/>
    <n v="5.97"/>
    <n v="5.97"/>
    <s v="Robusta"/>
    <x v="0"/>
    <x v="1"/>
  </r>
  <r>
    <s v="SDB-77492-188"/>
    <x v="305"/>
    <s v="64815-54078-HH"/>
    <s v="E-L-1"/>
    <n v="5"/>
    <x v="337"/>
    <s v="fbabbera2@stanford.edu"/>
    <x v="0"/>
    <x v="1"/>
    <s v="L"/>
    <x v="0"/>
    <n v="14.85"/>
    <n v="74.25"/>
    <s v="Excelsa"/>
    <x v="1"/>
    <x v="0"/>
  </r>
  <r>
    <s v="RZN-65182-395"/>
    <x v="196"/>
    <s v="59572-41990-XY"/>
    <s v="L-M-1"/>
    <n v="6"/>
    <x v="338"/>
    <s v="kloxtona3@opensource.org"/>
    <x v="0"/>
    <x v="3"/>
    <s v="M"/>
    <x v="0"/>
    <n v="14.55"/>
    <n v="87.300000000000011"/>
    <s v="Liberica"/>
    <x v="0"/>
    <x v="1"/>
  </r>
  <r>
    <s v="HDQ-86094-507"/>
    <x v="110"/>
    <s v="32481-61533-ZJ"/>
    <s v="E-D-1"/>
    <n v="6"/>
    <x v="339"/>
    <s v="ptoffula4@posterous.com"/>
    <x v="0"/>
    <x v="1"/>
    <s v="D"/>
    <x v="0"/>
    <n v="12.15"/>
    <n v="72.900000000000006"/>
    <s v="Excelsa"/>
    <x v="2"/>
    <x v="0"/>
  </r>
  <r>
    <s v="YXO-79631-417"/>
    <x v="24"/>
    <s v="31587-92570-HL"/>
    <s v="L-D-0.5"/>
    <n v="1"/>
    <x v="340"/>
    <s v="cgwinnetta5@behance.net"/>
    <x v="0"/>
    <x v="3"/>
    <s v="D"/>
    <x v="1"/>
    <n v="7.77"/>
    <n v="7.77"/>
    <s v="Liberica"/>
    <x v="2"/>
    <x v="1"/>
  </r>
  <r>
    <s v="SNF-57032-096"/>
    <x v="306"/>
    <s v="93832-04799-ID"/>
    <s v="E-D-0.5"/>
    <n v="6"/>
    <x v="341"/>
    <s v=""/>
    <x v="0"/>
    <x v="1"/>
    <s v="D"/>
    <x v="1"/>
    <n v="7.29"/>
    <n v="43.74"/>
    <s v="Excelsa"/>
    <x v="2"/>
    <x v="1"/>
  </r>
  <r>
    <s v="DGL-29648-995"/>
    <x v="307"/>
    <s v="59367-30821-ZQ"/>
    <s v="L-M-0.2"/>
    <n v="2"/>
    <x v="342"/>
    <s v=""/>
    <x v="0"/>
    <x v="3"/>
    <s v="M"/>
    <x v="3"/>
    <n v="4.3650000000000002"/>
    <n v="8.73"/>
    <s v="Liberica"/>
    <x v="0"/>
    <x v="0"/>
  </r>
  <r>
    <s v="GPU-65651-504"/>
    <x v="308"/>
    <s v="83947-45528-ET"/>
    <s v="E-M-2.5"/>
    <n v="2"/>
    <x v="343"/>
    <s v="lflaoniera8@wordpress.org"/>
    <x v="0"/>
    <x v="1"/>
    <s v="M"/>
    <x v="2"/>
    <n v="31.624999999999996"/>
    <n v="63.249999999999993"/>
    <s v="Excelsa"/>
    <x v="0"/>
    <x v="1"/>
  </r>
  <r>
    <s v="OJU-34452-896"/>
    <x v="309"/>
    <s v="60799-92593-CX"/>
    <s v="E-L-0.5"/>
    <n v="1"/>
    <x v="344"/>
    <s v=""/>
    <x v="0"/>
    <x v="1"/>
    <s v="L"/>
    <x v="1"/>
    <n v="8.91"/>
    <n v="8.91"/>
    <s v="Excelsa"/>
    <x v="1"/>
    <x v="0"/>
  </r>
  <r>
    <s v="GZS-50547-887"/>
    <x v="310"/>
    <s v="61600-55136-UM"/>
    <s v="E-D-1"/>
    <n v="2"/>
    <x v="345"/>
    <s v="ccatchesideaa@macromedia.com"/>
    <x v="0"/>
    <x v="1"/>
    <s v="D"/>
    <x v="0"/>
    <n v="12.15"/>
    <n v="24.3"/>
    <s v="Excelsa"/>
    <x v="2"/>
    <x v="0"/>
  </r>
  <r>
    <s v="ESR-54041-053"/>
    <x v="311"/>
    <s v="59771-90302-OF"/>
    <s v="A-L-0.5"/>
    <n v="6"/>
    <x v="346"/>
    <s v="cgibbonsonab@accuweather.com"/>
    <x v="0"/>
    <x v="2"/>
    <s v="L"/>
    <x v="1"/>
    <n v="7.77"/>
    <n v="46.62"/>
    <s v="Arabica"/>
    <x v="1"/>
    <x v="0"/>
  </r>
  <r>
    <s v="OGD-10781-526"/>
    <x v="132"/>
    <s v="16880-78077-FB"/>
    <s v="R-L-0.5"/>
    <n v="6"/>
    <x v="347"/>
    <s v="tfarraac@behance.net"/>
    <x v="0"/>
    <x v="0"/>
    <s v="L"/>
    <x v="1"/>
    <n v="7.169999999999999"/>
    <n v="43.019999999999996"/>
    <s v="Robusta"/>
    <x v="1"/>
    <x v="1"/>
  </r>
  <r>
    <s v="FVH-29271-315"/>
    <x v="312"/>
    <s v="74415-50873-FC"/>
    <s v="A-D-0.5"/>
    <n v="3"/>
    <x v="348"/>
    <s v=""/>
    <x v="1"/>
    <x v="2"/>
    <s v="D"/>
    <x v="1"/>
    <n v="5.97"/>
    <n v="17.91"/>
    <s v="Arabica"/>
    <x v="2"/>
    <x v="0"/>
  </r>
  <r>
    <s v="BNZ-20544-633"/>
    <x v="313"/>
    <s v="31798-95707-NR"/>
    <s v="L-L-0.5"/>
    <n v="4"/>
    <x v="349"/>
    <s v="gbamfieldae@yellowpages.com"/>
    <x v="0"/>
    <x v="3"/>
    <s v="L"/>
    <x v="1"/>
    <n v="9.51"/>
    <n v="38.04"/>
    <s v="Liberica"/>
    <x v="1"/>
    <x v="0"/>
  </r>
  <r>
    <s v="FUX-85791-078"/>
    <x v="156"/>
    <s v="59122-08794-WT"/>
    <s v="A-M-0.2"/>
    <n v="2"/>
    <x v="350"/>
    <s v="whollingdaleaf@about.me"/>
    <x v="0"/>
    <x v="2"/>
    <s v="M"/>
    <x v="3"/>
    <n v="3.375"/>
    <n v="6.75"/>
    <s v="Arabica"/>
    <x v="0"/>
    <x v="0"/>
  </r>
  <r>
    <s v="YXP-20078-116"/>
    <x v="314"/>
    <s v="37238-52421-JJ"/>
    <s v="R-M-0.5"/>
    <n v="1"/>
    <x v="351"/>
    <s v="jdeag@xrea.com"/>
    <x v="0"/>
    <x v="0"/>
    <s v="M"/>
    <x v="1"/>
    <n v="5.97"/>
    <n v="5.97"/>
    <s v="Robusta"/>
    <x v="0"/>
    <x v="0"/>
  </r>
  <r>
    <s v="VQV-59984-866"/>
    <x v="315"/>
    <s v="48854-01899-FN"/>
    <s v="R-D-0.2"/>
    <n v="3"/>
    <x v="352"/>
    <s v="vskulletah@tinyurl.com"/>
    <x v="1"/>
    <x v="0"/>
    <s v="D"/>
    <x v="3"/>
    <n v="2.6849999999999996"/>
    <n v="8.0549999999999997"/>
    <s v="Robusta"/>
    <x v="2"/>
    <x v="1"/>
  </r>
  <r>
    <s v="JEH-37276-048"/>
    <x v="316"/>
    <s v="80896-38819-DW"/>
    <s v="A-L-0.5"/>
    <n v="3"/>
    <x v="353"/>
    <s v="jrudeforthai@wunderground.com"/>
    <x v="1"/>
    <x v="2"/>
    <s v="L"/>
    <x v="1"/>
    <n v="7.77"/>
    <n v="23.31"/>
    <s v="Arabica"/>
    <x v="1"/>
    <x v="0"/>
  </r>
  <r>
    <s v="VYD-28555-589"/>
    <x v="317"/>
    <s v="29814-01459-RC"/>
    <s v="R-L-0.5"/>
    <n v="6"/>
    <x v="354"/>
    <s v="atomaszewskiaj@answers.com"/>
    <x v="2"/>
    <x v="0"/>
    <s v="L"/>
    <x v="1"/>
    <n v="7.169999999999999"/>
    <n v="43.019999999999996"/>
    <s v="Robusta"/>
    <x v="1"/>
    <x v="0"/>
  </r>
  <r>
    <s v="WUG-76466-650"/>
    <x v="318"/>
    <s v="43439-94003-DW"/>
    <s v="L-D-0.5"/>
    <n v="3"/>
    <x v="306"/>
    <s v=""/>
    <x v="0"/>
    <x v="3"/>
    <s v="D"/>
    <x v="1"/>
    <n v="7.77"/>
    <n v="23.31"/>
    <s v="Liberica"/>
    <x v="2"/>
    <x v="1"/>
  </r>
  <r>
    <s v="RJV-08261-583"/>
    <x v="182"/>
    <s v="48497-29281-FE"/>
    <s v="A-D-0.2"/>
    <n v="5"/>
    <x v="355"/>
    <s v="pbessal@qq.com"/>
    <x v="0"/>
    <x v="2"/>
    <s v="D"/>
    <x v="3"/>
    <n v="2.9849999999999999"/>
    <n v="14.924999999999999"/>
    <s v="Arabica"/>
    <x v="2"/>
    <x v="0"/>
  </r>
  <r>
    <s v="PMR-56062-609"/>
    <x v="319"/>
    <s v="43605-12616-YH"/>
    <s v="E-D-0.5"/>
    <n v="3"/>
    <x v="356"/>
    <s v="ewindressam@marketwatch.com"/>
    <x v="0"/>
    <x v="1"/>
    <s v="D"/>
    <x v="1"/>
    <n v="7.29"/>
    <n v="21.87"/>
    <s v="Excelsa"/>
    <x v="2"/>
    <x v="1"/>
  </r>
  <r>
    <s v="XLD-12920-505"/>
    <x v="320"/>
    <s v="21907-75962-VB"/>
    <s v="E-L-0.5"/>
    <n v="6"/>
    <x v="357"/>
    <s v=""/>
    <x v="0"/>
    <x v="1"/>
    <s v="L"/>
    <x v="1"/>
    <n v="8.91"/>
    <n v="53.46"/>
    <s v="Excelsa"/>
    <x v="1"/>
    <x v="0"/>
  </r>
  <r>
    <s v="UBW-50312-037"/>
    <x v="321"/>
    <s v="69503-12127-YD"/>
    <s v="A-L-2.5"/>
    <n v="4"/>
    <x v="358"/>
    <s v=""/>
    <x v="0"/>
    <x v="2"/>
    <s v="L"/>
    <x v="2"/>
    <n v="29.784999999999997"/>
    <n v="119.13999999999999"/>
    <s v="Arabica"/>
    <x v="1"/>
    <x v="1"/>
  </r>
  <r>
    <s v="QAW-05889-019"/>
    <x v="322"/>
    <s v="68810-07329-EU"/>
    <s v="L-M-0.5"/>
    <n v="5"/>
    <x v="359"/>
    <s v="vbaumadierap@google.cn"/>
    <x v="0"/>
    <x v="3"/>
    <s v="M"/>
    <x v="1"/>
    <n v="8.73"/>
    <n v="43.650000000000006"/>
    <s v="Liberica"/>
    <x v="0"/>
    <x v="0"/>
  </r>
  <r>
    <s v="EPT-12715-397"/>
    <x v="128"/>
    <s v="08478-75251-OG"/>
    <s v="A-D-0.2"/>
    <n v="6"/>
    <x v="360"/>
    <s v=""/>
    <x v="0"/>
    <x v="2"/>
    <s v="D"/>
    <x v="3"/>
    <n v="2.9849999999999999"/>
    <n v="17.91"/>
    <s v="Arabica"/>
    <x v="2"/>
    <x v="0"/>
  </r>
  <r>
    <s v="DHT-93810-053"/>
    <x v="323"/>
    <s v="17005-82030-EA"/>
    <s v="E-L-1"/>
    <n v="5"/>
    <x v="361"/>
    <s v="sweldsar@wired.com"/>
    <x v="0"/>
    <x v="1"/>
    <s v="L"/>
    <x v="0"/>
    <n v="14.85"/>
    <n v="74.25"/>
    <s v="Excelsa"/>
    <x v="1"/>
    <x v="0"/>
  </r>
  <r>
    <s v="DMY-96037-963"/>
    <x v="324"/>
    <s v="42179-95059-DO"/>
    <s v="L-D-0.2"/>
    <n v="3"/>
    <x v="362"/>
    <s v="msarvaras@artisteer.com"/>
    <x v="0"/>
    <x v="3"/>
    <s v="D"/>
    <x v="3"/>
    <n v="3.8849999999999998"/>
    <n v="11.654999999999999"/>
    <s v="Liberica"/>
    <x v="2"/>
    <x v="0"/>
  </r>
  <r>
    <s v="MBM-55936-917"/>
    <x v="325"/>
    <s v="55989-39849-WO"/>
    <s v="L-D-0.5"/>
    <n v="3"/>
    <x v="363"/>
    <s v="ahavickat@nsw.gov.au"/>
    <x v="0"/>
    <x v="3"/>
    <s v="D"/>
    <x v="1"/>
    <n v="7.77"/>
    <n v="23.31"/>
    <s v="Liberica"/>
    <x v="2"/>
    <x v="0"/>
  </r>
  <r>
    <s v="TPA-93614-840"/>
    <x v="326"/>
    <s v="28932-49296-TM"/>
    <s v="E-D-0.5"/>
    <n v="2"/>
    <x v="364"/>
    <s v="sdivinyau@ask.com"/>
    <x v="0"/>
    <x v="1"/>
    <s v="D"/>
    <x v="1"/>
    <n v="7.29"/>
    <n v="14.58"/>
    <s v="Excelsa"/>
    <x v="2"/>
    <x v="0"/>
  </r>
  <r>
    <s v="WDM-77521-710"/>
    <x v="327"/>
    <s v="86144-10144-CB"/>
    <s v="A-M-0.5"/>
    <n v="2"/>
    <x v="365"/>
    <s v="inorquoyav@businessweek.com"/>
    <x v="0"/>
    <x v="2"/>
    <s v="M"/>
    <x v="1"/>
    <n v="6.75"/>
    <n v="13.5"/>
    <s v="Arabica"/>
    <x v="0"/>
    <x v="1"/>
  </r>
  <r>
    <s v="EIP-19142-462"/>
    <x v="328"/>
    <s v="60973-72562-DQ"/>
    <s v="E-L-1"/>
    <n v="6"/>
    <x v="366"/>
    <s v="aiddisonaw@usa.gov"/>
    <x v="0"/>
    <x v="1"/>
    <s v="L"/>
    <x v="0"/>
    <n v="14.85"/>
    <n v="89.1"/>
    <s v="Excelsa"/>
    <x v="1"/>
    <x v="1"/>
  </r>
  <r>
    <s v="EIP-19142-462"/>
    <x v="328"/>
    <s v="60973-72562-DQ"/>
    <s v="A-L-0.2"/>
    <n v="1"/>
    <x v="366"/>
    <s v="aiddisonaw@usa.gov"/>
    <x v="0"/>
    <x v="2"/>
    <s v="L"/>
    <x v="3"/>
    <n v="3.8849999999999998"/>
    <n v="3.8849999999999998"/>
    <s v="Arabica"/>
    <x v="1"/>
    <x v="1"/>
  </r>
  <r>
    <s v="ZZL-76364-387"/>
    <x v="128"/>
    <s v="11263-86515-VU"/>
    <s v="R-L-2.5"/>
    <n v="4"/>
    <x v="367"/>
    <s v="rlongfielday@bluehost.com"/>
    <x v="0"/>
    <x v="0"/>
    <s v="L"/>
    <x v="2"/>
    <n v="27.484999999999996"/>
    <n v="109.93999999999998"/>
    <s v="Robusta"/>
    <x v="1"/>
    <x v="1"/>
  </r>
  <r>
    <s v="GMF-18638-786"/>
    <x v="329"/>
    <s v="60004-62976-NI"/>
    <s v="L-D-0.5"/>
    <n v="6"/>
    <x v="368"/>
    <s v="gkislingburyaz@samsung.com"/>
    <x v="0"/>
    <x v="3"/>
    <s v="D"/>
    <x v="1"/>
    <n v="7.77"/>
    <n v="46.62"/>
    <s v="Liberica"/>
    <x v="2"/>
    <x v="0"/>
  </r>
  <r>
    <s v="TDJ-20844-787"/>
    <x v="330"/>
    <s v="77876-28498-HI"/>
    <s v="A-L-0.5"/>
    <n v="5"/>
    <x v="369"/>
    <s v="xgibbonsb0@artisteer.com"/>
    <x v="0"/>
    <x v="2"/>
    <s v="L"/>
    <x v="1"/>
    <n v="7.77"/>
    <n v="38.849999999999994"/>
    <s v="Arabica"/>
    <x v="1"/>
    <x v="1"/>
  </r>
  <r>
    <s v="BWK-39400-446"/>
    <x v="331"/>
    <s v="61302-06948-EH"/>
    <s v="L-D-0.5"/>
    <n v="4"/>
    <x v="370"/>
    <s v="fparresb1@imageshack.us"/>
    <x v="0"/>
    <x v="3"/>
    <s v="D"/>
    <x v="1"/>
    <n v="7.77"/>
    <n v="31.08"/>
    <s v="Liberica"/>
    <x v="2"/>
    <x v="0"/>
  </r>
  <r>
    <s v="LCB-02099-995"/>
    <x v="332"/>
    <s v="06757-96251-UH"/>
    <s v="A-D-0.2"/>
    <n v="6"/>
    <x v="371"/>
    <s v="gsibrayb2@wsj.com"/>
    <x v="0"/>
    <x v="2"/>
    <s v="D"/>
    <x v="3"/>
    <n v="2.9849999999999999"/>
    <n v="17.91"/>
    <s v="Arabica"/>
    <x v="2"/>
    <x v="0"/>
  </r>
  <r>
    <s v="UBA-43678-174"/>
    <x v="333"/>
    <s v="44530-75983-OD"/>
    <s v="E-D-2.5"/>
    <n v="6"/>
    <x v="372"/>
    <s v="ihotchkinb3@mit.edu"/>
    <x v="2"/>
    <x v="1"/>
    <s v="D"/>
    <x v="2"/>
    <n v="27.945"/>
    <n v="167.67000000000002"/>
    <s v="Excelsa"/>
    <x v="2"/>
    <x v="1"/>
  </r>
  <r>
    <s v="UDH-24280-432"/>
    <x v="334"/>
    <s v="44865-58249-RY"/>
    <s v="L-L-1"/>
    <n v="4"/>
    <x v="373"/>
    <s v="nbroadberrieb4@gnu.org"/>
    <x v="0"/>
    <x v="3"/>
    <s v="L"/>
    <x v="0"/>
    <n v="15.85"/>
    <n v="63.4"/>
    <s v="Liberica"/>
    <x v="1"/>
    <x v="1"/>
  </r>
  <r>
    <s v="IDQ-20193-502"/>
    <x v="335"/>
    <s v="36021-61205-DF"/>
    <s v="L-M-0.2"/>
    <n v="2"/>
    <x v="374"/>
    <s v="rpithcockb5@yellowbook.com"/>
    <x v="0"/>
    <x v="3"/>
    <s v="M"/>
    <x v="3"/>
    <n v="4.3650000000000002"/>
    <n v="8.73"/>
    <s v="Liberica"/>
    <x v="0"/>
    <x v="0"/>
  </r>
  <r>
    <s v="DJG-14442-608"/>
    <x v="336"/>
    <s v="75716-12782-SS"/>
    <s v="R-D-1"/>
    <n v="3"/>
    <x v="375"/>
    <s v="gcroysdaleb6@nih.gov"/>
    <x v="0"/>
    <x v="0"/>
    <s v="D"/>
    <x v="0"/>
    <n v="8.9499999999999993"/>
    <n v="26.849999999999998"/>
    <s v="Robusta"/>
    <x v="2"/>
    <x v="0"/>
  </r>
  <r>
    <s v="DWB-61381-370"/>
    <x v="337"/>
    <s v="11812-00461-KH"/>
    <s v="L-L-0.2"/>
    <n v="2"/>
    <x v="376"/>
    <s v="bgozzettb7@github.com"/>
    <x v="0"/>
    <x v="3"/>
    <s v="L"/>
    <x v="3"/>
    <n v="4.7549999999999999"/>
    <n v="9.51"/>
    <s v="Liberica"/>
    <x v="1"/>
    <x v="1"/>
  </r>
  <r>
    <s v="FRD-17347-990"/>
    <x v="80"/>
    <s v="46681-78850-ZW"/>
    <s v="A-D-1"/>
    <n v="4"/>
    <x v="377"/>
    <s v="tcraggsb8@house.gov"/>
    <x v="1"/>
    <x v="2"/>
    <s v="D"/>
    <x v="0"/>
    <n v="9.9499999999999993"/>
    <n v="39.799999999999997"/>
    <s v="Arabica"/>
    <x v="2"/>
    <x v="1"/>
  </r>
  <r>
    <s v="YPP-27450-525"/>
    <x v="338"/>
    <s v="01932-87052-KO"/>
    <s v="E-M-0.5"/>
    <n v="3"/>
    <x v="378"/>
    <s v="lcullrfordb9@xing.com"/>
    <x v="0"/>
    <x v="1"/>
    <s v="M"/>
    <x v="1"/>
    <n v="8.25"/>
    <n v="24.75"/>
    <s v="Excelsa"/>
    <x v="0"/>
    <x v="0"/>
  </r>
  <r>
    <s v="EFC-39577-424"/>
    <x v="339"/>
    <s v="16046-34805-ZF"/>
    <s v="E-M-1"/>
    <n v="5"/>
    <x v="379"/>
    <s v="arizonba@xing.com"/>
    <x v="0"/>
    <x v="1"/>
    <s v="M"/>
    <x v="0"/>
    <n v="13.75"/>
    <n v="68.75"/>
    <s v="Excelsa"/>
    <x v="0"/>
    <x v="0"/>
  </r>
  <r>
    <s v="LAW-80062-016"/>
    <x v="340"/>
    <s v="34546-70516-LR"/>
    <s v="E-M-0.5"/>
    <n v="6"/>
    <x v="380"/>
    <s v=""/>
    <x v="1"/>
    <x v="1"/>
    <s v="M"/>
    <x v="1"/>
    <n v="8.25"/>
    <n v="49.5"/>
    <s v="Excelsa"/>
    <x v="0"/>
    <x v="1"/>
  </r>
  <r>
    <s v="WKL-27981-758"/>
    <x v="177"/>
    <s v="73699-93557-FZ"/>
    <s v="A-M-2.5"/>
    <n v="2"/>
    <x v="381"/>
    <s v="fmiellbc@spiegel.de"/>
    <x v="0"/>
    <x v="2"/>
    <s v="M"/>
    <x v="2"/>
    <n v="25.874999999999996"/>
    <n v="51.749999999999993"/>
    <s v="Arabica"/>
    <x v="0"/>
    <x v="0"/>
  </r>
  <r>
    <s v="VRT-39834-265"/>
    <x v="341"/>
    <s v="86686-37462-CK"/>
    <s v="L-L-1"/>
    <n v="3"/>
    <x v="382"/>
    <s v=""/>
    <x v="1"/>
    <x v="3"/>
    <s v="L"/>
    <x v="0"/>
    <n v="15.85"/>
    <n v="47.55"/>
    <s v="Liberica"/>
    <x v="1"/>
    <x v="0"/>
  </r>
  <r>
    <s v="QTC-71005-730"/>
    <x v="342"/>
    <s v="14298-02150-KH"/>
    <s v="A-L-0.2"/>
    <n v="4"/>
    <x v="383"/>
    <s v=""/>
    <x v="0"/>
    <x v="2"/>
    <s v="L"/>
    <x v="3"/>
    <n v="3.8849999999999998"/>
    <n v="15.54"/>
    <s v="Arabica"/>
    <x v="1"/>
    <x v="1"/>
  </r>
  <r>
    <s v="TNX-09857-717"/>
    <x v="343"/>
    <s v="48675-07824-HJ"/>
    <s v="L-M-1"/>
    <n v="6"/>
    <x v="384"/>
    <s v=""/>
    <x v="0"/>
    <x v="3"/>
    <s v="M"/>
    <x v="0"/>
    <n v="14.55"/>
    <n v="87.300000000000011"/>
    <s v="Liberica"/>
    <x v="0"/>
    <x v="0"/>
  </r>
  <r>
    <s v="JZV-43874-185"/>
    <x v="344"/>
    <s v="18551-80943-YQ"/>
    <s v="A-M-1"/>
    <n v="5"/>
    <x v="385"/>
    <s v=""/>
    <x v="0"/>
    <x v="2"/>
    <s v="M"/>
    <x v="0"/>
    <n v="11.25"/>
    <n v="56.25"/>
    <s v="Arabica"/>
    <x v="0"/>
    <x v="0"/>
  </r>
  <r>
    <s v="ICF-17486-106"/>
    <x v="47"/>
    <s v="19196-09748-DB"/>
    <s v="L-L-2.5"/>
    <n v="1"/>
    <x v="386"/>
    <s v="wspringallbh@jugem.jp"/>
    <x v="0"/>
    <x v="3"/>
    <s v="L"/>
    <x v="2"/>
    <n v="36.454999999999998"/>
    <n v="36.454999999999998"/>
    <s v="Liberica"/>
    <x v="1"/>
    <x v="0"/>
  </r>
  <r>
    <s v="BMK-49520-383"/>
    <x v="345"/>
    <s v="72233-08665-IP"/>
    <s v="R-L-0.2"/>
    <n v="3"/>
    <x v="387"/>
    <s v=""/>
    <x v="0"/>
    <x v="0"/>
    <s v="L"/>
    <x v="3"/>
    <n v="3.5849999999999995"/>
    <n v="10.754999999999999"/>
    <s v="Robusta"/>
    <x v="1"/>
    <x v="0"/>
  </r>
  <r>
    <s v="HTS-15020-632"/>
    <x v="169"/>
    <s v="53817-13148-RK"/>
    <s v="R-M-0.2"/>
    <n v="3"/>
    <x v="388"/>
    <s v="ghawkyensbj@census.gov"/>
    <x v="0"/>
    <x v="0"/>
    <s v="M"/>
    <x v="3"/>
    <n v="2.9849999999999999"/>
    <n v="8.9550000000000001"/>
    <s v="Robusta"/>
    <x v="0"/>
    <x v="1"/>
  </r>
  <r>
    <s v="YLE-18247-749"/>
    <x v="346"/>
    <s v="92227-49331-QR"/>
    <s v="A-L-0.5"/>
    <n v="3"/>
    <x v="389"/>
    <s v=""/>
    <x v="0"/>
    <x v="2"/>
    <s v="L"/>
    <x v="1"/>
    <n v="7.77"/>
    <n v="23.31"/>
    <s v="Arabica"/>
    <x v="1"/>
    <x v="0"/>
  </r>
  <r>
    <s v="KJJ-12573-591"/>
    <x v="347"/>
    <s v="12997-41076-FQ"/>
    <s v="A-L-2.5"/>
    <n v="1"/>
    <x v="390"/>
    <s v=""/>
    <x v="0"/>
    <x v="2"/>
    <s v="L"/>
    <x v="2"/>
    <n v="29.784999999999997"/>
    <n v="29.784999999999997"/>
    <s v="Arabica"/>
    <x v="1"/>
    <x v="0"/>
  </r>
  <r>
    <s v="RGU-43561-950"/>
    <x v="348"/>
    <s v="44220-00348-MB"/>
    <s v="A-L-2.5"/>
    <n v="5"/>
    <x v="391"/>
    <s v="bmcgilvrabm@so-net.ne.jp"/>
    <x v="0"/>
    <x v="2"/>
    <s v="L"/>
    <x v="2"/>
    <n v="29.784999999999997"/>
    <n v="148.92499999999998"/>
    <s v="Arabica"/>
    <x v="1"/>
    <x v="0"/>
  </r>
  <r>
    <s v="JSN-73975-443"/>
    <x v="349"/>
    <s v="93047-98331-DD"/>
    <s v="L-M-0.5"/>
    <n v="1"/>
    <x v="392"/>
    <s v="adanzeybn@github.com"/>
    <x v="0"/>
    <x v="3"/>
    <s v="M"/>
    <x v="1"/>
    <n v="8.73"/>
    <n v="8.73"/>
    <s v="Liberica"/>
    <x v="0"/>
    <x v="0"/>
  </r>
  <r>
    <s v="WNR-71736-993"/>
    <x v="350"/>
    <s v="16880-78077-FB"/>
    <s v="L-D-0.5"/>
    <n v="4"/>
    <x v="347"/>
    <s v="tfarraac@behance.net"/>
    <x v="0"/>
    <x v="3"/>
    <s v="D"/>
    <x v="1"/>
    <n v="7.77"/>
    <n v="31.08"/>
    <s v="Liberica"/>
    <x v="2"/>
    <x v="1"/>
  </r>
  <r>
    <s v="WNR-71736-993"/>
    <x v="350"/>
    <s v="16880-78077-FB"/>
    <s v="A-D-2.5"/>
    <n v="6"/>
    <x v="347"/>
    <s v="tfarraac@behance.net"/>
    <x v="0"/>
    <x v="2"/>
    <s v="D"/>
    <x v="2"/>
    <n v="22.884999999999998"/>
    <n v="137.31"/>
    <s v="Arabica"/>
    <x v="2"/>
    <x v="1"/>
  </r>
  <r>
    <s v="HNI-91338-546"/>
    <x v="54"/>
    <s v="67285-75317-XI"/>
    <s v="A-D-0.5"/>
    <n v="5"/>
    <x v="393"/>
    <s v=""/>
    <x v="0"/>
    <x v="2"/>
    <s v="D"/>
    <x v="1"/>
    <n v="5.97"/>
    <n v="29.849999999999998"/>
    <s v="Arabica"/>
    <x v="2"/>
    <x v="1"/>
  </r>
  <r>
    <s v="CYH-53243-218"/>
    <x v="237"/>
    <s v="88167-57964-PH"/>
    <s v="R-M-0.5"/>
    <n v="3"/>
    <x v="394"/>
    <s v=""/>
    <x v="0"/>
    <x v="0"/>
    <s v="M"/>
    <x v="1"/>
    <n v="5.97"/>
    <n v="17.91"/>
    <s v="Robusta"/>
    <x v="0"/>
    <x v="1"/>
  </r>
  <r>
    <s v="SVD-75407-177"/>
    <x v="351"/>
    <s v="16106-36039-QS"/>
    <s v="E-L-0.5"/>
    <n v="3"/>
    <x v="395"/>
    <s v="ydombrellbs@dedecms.com"/>
    <x v="0"/>
    <x v="1"/>
    <s v="L"/>
    <x v="1"/>
    <n v="8.91"/>
    <n v="26.73"/>
    <s v="Excelsa"/>
    <x v="1"/>
    <x v="0"/>
  </r>
  <r>
    <s v="NVN-66443-451"/>
    <x v="352"/>
    <s v="98921-82417-GN"/>
    <s v="R-D-1"/>
    <n v="2"/>
    <x v="396"/>
    <s v="adarthbt@t.co"/>
    <x v="0"/>
    <x v="0"/>
    <s v="D"/>
    <x v="0"/>
    <n v="8.9499999999999993"/>
    <n v="17.899999999999999"/>
    <s v="Robusta"/>
    <x v="2"/>
    <x v="1"/>
  </r>
  <r>
    <s v="JUA-13580-095"/>
    <x v="102"/>
    <s v="55265-75151-AK"/>
    <s v="R-L-0.2"/>
    <n v="4"/>
    <x v="397"/>
    <s v="mdarrigoebu@hud.gov"/>
    <x v="1"/>
    <x v="0"/>
    <s v="L"/>
    <x v="3"/>
    <n v="3.5849999999999995"/>
    <n v="14.339999999999998"/>
    <s v="Robusta"/>
    <x v="1"/>
    <x v="0"/>
  </r>
  <r>
    <s v="ACY-56225-839"/>
    <x v="353"/>
    <s v="47386-50743-FG"/>
    <s v="A-M-2.5"/>
    <n v="3"/>
    <x v="398"/>
    <s v=""/>
    <x v="0"/>
    <x v="2"/>
    <s v="M"/>
    <x v="2"/>
    <n v="25.874999999999996"/>
    <n v="77.624999999999986"/>
    <s v="Arabica"/>
    <x v="0"/>
    <x v="0"/>
  </r>
  <r>
    <s v="QBB-07903-622"/>
    <x v="354"/>
    <s v="32622-54551-UC"/>
    <s v="R-L-1"/>
    <n v="5"/>
    <x v="399"/>
    <s v="mackrillbw@bandcamp.com"/>
    <x v="0"/>
    <x v="0"/>
    <s v="L"/>
    <x v="0"/>
    <n v="11.95"/>
    <n v="59.75"/>
    <s v="Robusta"/>
    <x v="1"/>
    <x v="1"/>
  </r>
  <r>
    <s v="JLJ-81802-619"/>
    <x v="135"/>
    <s v="16880-78077-FB"/>
    <s v="A-L-1"/>
    <n v="6"/>
    <x v="347"/>
    <s v="tfarraac@behance.net"/>
    <x v="0"/>
    <x v="2"/>
    <s v="L"/>
    <x v="0"/>
    <n v="12.95"/>
    <n v="77.699999999999989"/>
    <s v="Arabica"/>
    <x v="1"/>
    <x v="1"/>
  </r>
  <r>
    <s v="HFT-77191-168"/>
    <x v="343"/>
    <s v="48419-02347-XP"/>
    <s v="R-D-0.2"/>
    <n v="2"/>
    <x v="400"/>
    <s v="mkippenby@dion.ne.jp"/>
    <x v="0"/>
    <x v="0"/>
    <s v="D"/>
    <x v="3"/>
    <n v="2.6849999999999996"/>
    <n v="5.3699999999999992"/>
    <s v="Robusta"/>
    <x v="2"/>
    <x v="0"/>
  </r>
  <r>
    <s v="SZR-35951-530"/>
    <x v="89"/>
    <s v="14121-20527-OJ"/>
    <s v="E-D-2.5"/>
    <n v="3"/>
    <x v="401"/>
    <s v="wransonbz@ted.com"/>
    <x v="1"/>
    <x v="1"/>
    <s v="D"/>
    <x v="2"/>
    <n v="27.945"/>
    <n v="83.835000000000008"/>
    <s v="Excelsa"/>
    <x v="2"/>
    <x v="0"/>
  </r>
  <r>
    <s v="IKL-95976-565"/>
    <x v="355"/>
    <s v="53486-73919-BQ"/>
    <s v="A-M-1"/>
    <n v="2"/>
    <x v="402"/>
    <s v=""/>
    <x v="0"/>
    <x v="2"/>
    <s v="M"/>
    <x v="0"/>
    <n v="11.25"/>
    <n v="22.5"/>
    <s v="Arabica"/>
    <x v="0"/>
    <x v="1"/>
  </r>
  <r>
    <s v="XEY-48929-474"/>
    <x v="204"/>
    <s v="21889-94615-WT"/>
    <s v="L-M-2.5"/>
    <n v="6"/>
    <x v="403"/>
    <s v="lrignoldc1@miibeian.gov.cn"/>
    <x v="0"/>
    <x v="3"/>
    <s v="M"/>
    <x v="2"/>
    <n v="33.464999999999996"/>
    <n v="200.78999999999996"/>
    <s v="Liberica"/>
    <x v="0"/>
    <x v="0"/>
  </r>
  <r>
    <s v="SQT-07286-736"/>
    <x v="356"/>
    <s v="87726-16941-QW"/>
    <s v="A-M-1"/>
    <n v="6"/>
    <x v="404"/>
    <s v=""/>
    <x v="0"/>
    <x v="2"/>
    <s v="M"/>
    <x v="0"/>
    <n v="11.25"/>
    <n v="67.5"/>
    <s v="Arabica"/>
    <x v="0"/>
    <x v="1"/>
  </r>
  <r>
    <s v="QDU-45390-361"/>
    <x v="357"/>
    <s v="03677-09134-BC"/>
    <s v="E-M-0.5"/>
    <n v="1"/>
    <x v="405"/>
    <s v="crowthornc3@msn.com"/>
    <x v="0"/>
    <x v="1"/>
    <s v="M"/>
    <x v="1"/>
    <n v="8.25"/>
    <n v="8.25"/>
    <s v="Excelsa"/>
    <x v="0"/>
    <x v="1"/>
  </r>
  <r>
    <s v="RUJ-30649-712"/>
    <x v="300"/>
    <s v="93224-71517-WV"/>
    <s v="L-L-0.2"/>
    <n v="2"/>
    <x v="406"/>
    <s v="orylandc4@deviantart.com"/>
    <x v="0"/>
    <x v="3"/>
    <s v="L"/>
    <x v="3"/>
    <n v="4.7549999999999999"/>
    <n v="9.51"/>
    <s v="Liberica"/>
    <x v="1"/>
    <x v="0"/>
  </r>
  <r>
    <s v="WSV-49732-075"/>
    <x v="358"/>
    <s v="76263-95145-GJ"/>
    <s v="L-D-2.5"/>
    <n v="1"/>
    <x v="407"/>
    <s v=""/>
    <x v="0"/>
    <x v="3"/>
    <s v="D"/>
    <x v="2"/>
    <n v="29.784999999999997"/>
    <n v="29.784999999999997"/>
    <s v="Liberica"/>
    <x v="2"/>
    <x v="1"/>
  </r>
  <r>
    <s v="VJF-46305-323"/>
    <x v="161"/>
    <s v="68555-89840-GZ"/>
    <s v="L-D-0.5"/>
    <n v="2"/>
    <x v="408"/>
    <s v="msesonck@census.gov"/>
    <x v="0"/>
    <x v="3"/>
    <s v="D"/>
    <x v="1"/>
    <n v="7.77"/>
    <n v="15.54"/>
    <s v="Liberica"/>
    <x v="2"/>
    <x v="1"/>
  </r>
  <r>
    <s v="CXD-74176-600"/>
    <x v="129"/>
    <s v="70624-19112-AO"/>
    <s v="E-L-0.5"/>
    <n v="4"/>
    <x v="409"/>
    <s v="craglessc7@webmd.com"/>
    <x v="1"/>
    <x v="1"/>
    <s v="L"/>
    <x v="1"/>
    <n v="8.91"/>
    <n v="35.64"/>
    <s v="Excelsa"/>
    <x v="1"/>
    <x v="1"/>
  </r>
  <r>
    <s v="ADX-50674-975"/>
    <x v="359"/>
    <s v="58916-61837-QH"/>
    <s v="A-M-2.5"/>
    <n v="4"/>
    <x v="410"/>
    <s v="fhollowsc8@blogtalkradio.com"/>
    <x v="0"/>
    <x v="2"/>
    <s v="M"/>
    <x v="2"/>
    <n v="25.874999999999996"/>
    <n v="103.49999999999999"/>
    <s v="Arabica"/>
    <x v="0"/>
    <x v="0"/>
  </r>
  <r>
    <s v="RRP-51647-420"/>
    <x v="360"/>
    <s v="89292-52335-YZ"/>
    <s v="E-D-1"/>
    <n v="3"/>
    <x v="411"/>
    <s v="llathleiffc9@nationalgeographic.com"/>
    <x v="1"/>
    <x v="1"/>
    <s v="D"/>
    <x v="0"/>
    <n v="12.15"/>
    <n v="36.450000000000003"/>
    <s v="Excelsa"/>
    <x v="2"/>
    <x v="0"/>
  </r>
  <r>
    <s v="PKJ-99134-523"/>
    <x v="361"/>
    <s v="77284-34297-YY"/>
    <s v="R-L-0.5"/>
    <n v="5"/>
    <x v="412"/>
    <s v="kheadsca@jalbum.net"/>
    <x v="0"/>
    <x v="0"/>
    <s v="L"/>
    <x v="1"/>
    <n v="7.169999999999999"/>
    <n v="35.849999999999994"/>
    <s v="Robusta"/>
    <x v="1"/>
    <x v="1"/>
  </r>
  <r>
    <s v="FZQ-29439-457"/>
    <x v="362"/>
    <s v="50449-80974-BZ"/>
    <s v="E-L-0.2"/>
    <n v="5"/>
    <x v="413"/>
    <s v="tbownecb@unicef.org"/>
    <x v="1"/>
    <x v="1"/>
    <s v="L"/>
    <x v="3"/>
    <n v="4.4550000000000001"/>
    <n v="22.274999999999999"/>
    <s v="Excelsa"/>
    <x v="1"/>
    <x v="0"/>
  </r>
  <r>
    <s v="USN-68115-161"/>
    <x v="363"/>
    <s v="08120-16183-AW"/>
    <s v="E-M-0.2"/>
    <n v="6"/>
    <x v="414"/>
    <s v="rjacquemardcc@acquirethisname.com"/>
    <x v="1"/>
    <x v="1"/>
    <s v="M"/>
    <x v="3"/>
    <n v="4.125"/>
    <n v="24.75"/>
    <s v="Excelsa"/>
    <x v="0"/>
    <x v="1"/>
  </r>
  <r>
    <s v="IXU-20263-532"/>
    <x v="364"/>
    <s v="68044-89277-ML"/>
    <s v="L-M-2.5"/>
    <n v="2"/>
    <x v="415"/>
    <s v="kwarmancd@printfriendly.com"/>
    <x v="1"/>
    <x v="3"/>
    <s v="M"/>
    <x v="2"/>
    <n v="33.464999999999996"/>
    <n v="66.929999999999993"/>
    <s v="Liberica"/>
    <x v="0"/>
    <x v="0"/>
  </r>
  <r>
    <s v="CBT-15092-420"/>
    <x v="85"/>
    <s v="71364-35210-HS"/>
    <s v="L-M-0.5"/>
    <n v="1"/>
    <x v="416"/>
    <s v="wcholomince@about.com"/>
    <x v="2"/>
    <x v="3"/>
    <s v="M"/>
    <x v="1"/>
    <n v="8.73"/>
    <n v="8.73"/>
    <s v="Liberica"/>
    <x v="0"/>
    <x v="0"/>
  </r>
  <r>
    <s v="PKQ-46841-696"/>
    <x v="365"/>
    <s v="37177-68797-ON"/>
    <s v="R-M-0.5"/>
    <n v="3"/>
    <x v="417"/>
    <s v="abraidmancf@census.gov"/>
    <x v="0"/>
    <x v="0"/>
    <s v="M"/>
    <x v="1"/>
    <n v="5.97"/>
    <n v="17.91"/>
    <s v="Robusta"/>
    <x v="0"/>
    <x v="1"/>
  </r>
  <r>
    <s v="XDU-05471-219"/>
    <x v="366"/>
    <s v="60308-06944-GS"/>
    <s v="R-L-0.5"/>
    <n v="1"/>
    <x v="418"/>
    <s v="pdurbancg@symantec.com"/>
    <x v="1"/>
    <x v="0"/>
    <s v="L"/>
    <x v="1"/>
    <n v="7.169999999999999"/>
    <n v="7.169999999999999"/>
    <s v="Robusta"/>
    <x v="1"/>
    <x v="1"/>
  </r>
  <r>
    <s v="NID-20149-329"/>
    <x v="367"/>
    <s v="49888-39458-PF"/>
    <s v="R-D-0.2"/>
    <n v="2"/>
    <x v="419"/>
    <s v="aharroldch@miibeian.gov.cn"/>
    <x v="0"/>
    <x v="0"/>
    <s v="D"/>
    <x v="3"/>
    <n v="2.6849999999999996"/>
    <n v="5.3699999999999992"/>
    <s v="Robusta"/>
    <x v="2"/>
    <x v="1"/>
  </r>
  <r>
    <s v="SVU-27222-213"/>
    <x v="142"/>
    <s v="60748-46813-DZ"/>
    <s v="L-L-0.2"/>
    <n v="5"/>
    <x v="420"/>
    <s v="spamphilonci@mlb.com"/>
    <x v="1"/>
    <x v="3"/>
    <s v="L"/>
    <x v="3"/>
    <n v="4.7549999999999999"/>
    <n v="23.774999999999999"/>
    <s v="Liberica"/>
    <x v="1"/>
    <x v="1"/>
  </r>
  <r>
    <s v="RWI-84131-848"/>
    <x v="368"/>
    <s v="16385-11286-NX"/>
    <s v="R-D-2.5"/>
    <n v="2"/>
    <x v="421"/>
    <s v="mspurdencj@exblog.jp"/>
    <x v="0"/>
    <x v="0"/>
    <s v="D"/>
    <x v="2"/>
    <n v="20.584999999999997"/>
    <n v="41.169999999999995"/>
    <s v="Robusta"/>
    <x v="2"/>
    <x v="0"/>
  </r>
  <r>
    <s v="GUU-40666-525"/>
    <x v="31"/>
    <s v="68555-89840-GZ"/>
    <s v="A-L-0.2"/>
    <n v="3"/>
    <x v="408"/>
    <s v="msesonck@census.gov"/>
    <x v="0"/>
    <x v="2"/>
    <s v="L"/>
    <x v="3"/>
    <n v="3.8849999999999998"/>
    <n v="11.654999999999999"/>
    <s v="Arabica"/>
    <x v="1"/>
    <x v="1"/>
  </r>
  <r>
    <s v="SCN-51395-066"/>
    <x v="369"/>
    <s v="72164-90254-EJ"/>
    <s v="L-L-0.5"/>
    <n v="4"/>
    <x v="422"/>
    <s v="npirronecl@weibo.com"/>
    <x v="0"/>
    <x v="3"/>
    <s v="L"/>
    <x v="1"/>
    <n v="9.51"/>
    <n v="38.04"/>
    <s v="Liberica"/>
    <x v="1"/>
    <x v="1"/>
  </r>
  <r>
    <s v="ULA-24644-321"/>
    <x v="370"/>
    <s v="67010-92988-CT"/>
    <s v="R-D-2.5"/>
    <n v="4"/>
    <x v="423"/>
    <s v="rcawleycm@yellowbook.com"/>
    <x v="1"/>
    <x v="0"/>
    <s v="D"/>
    <x v="2"/>
    <n v="20.584999999999997"/>
    <n v="82.339999999999989"/>
    <s v="Robusta"/>
    <x v="2"/>
    <x v="0"/>
  </r>
  <r>
    <s v="EOL-92666-762"/>
    <x v="371"/>
    <s v="15776-91507-GT"/>
    <s v="L-L-0.2"/>
    <n v="2"/>
    <x v="424"/>
    <s v="sbarribalcn@microsoft.com"/>
    <x v="1"/>
    <x v="3"/>
    <s v="L"/>
    <x v="3"/>
    <n v="4.7549999999999999"/>
    <n v="9.51"/>
    <s v="Liberica"/>
    <x v="1"/>
    <x v="0"/>
  </r>
  <r>
    <s v="AJV-18231-334"/>
    <x v="372"/>
    <s v="23473-41001-CD"/>
    <s v="R-D-2.5"/>
    <n v="2"/>
    <x v="425"/>
    <s v="aadamidesco@bizjournals.com"/>
    <x v="2"/>
    <x v="0"/>
    <s v="D"/>
    <x v="2"/>
    <n v="20.584999999999997"/>
    <n v="41.169999999999995"/>
    <s v="Robusta"/>
    <x v="2"/>
    <x v="1"/>
  </r>
  <r>
    <s v="ZQI-47236-301"/>
    <x v="373"/>
    <s v="23446-47798-ID"/>
    <s v="L-L-0.5"/>
    <n v="5"/>
    <x v="426"/>
    <s v="cthowescp@craigslist.org"/>
    <x v="0"/>
    <x v="3"/>
    <s v="L"/>
    <x v="1"/>
    <n v="9.51"/>
    <n v="47.55"/>
    <s v="Liberica"/>
    <x v="1"/>
    <x v="1"/>
  </r>
  <r>
    <s v="ZCR-15721-658"/>
    <x v="374"/>
    <s v="28327-84469-ND"/>
    <s v="A-M-1"/>
    <n v="4"/>
    <x v="427"/>
    <s v="rwillowaycq@admin.ch"/>
    <x v="0"/>
    <x v="2"/>
    <s v="M"/>
    <x v="0"/>
    <n v="11.25"/>
    <n v="45"/>
    <s v="Arabica"/>
    <x v="0"/>
    <x v="1"/>
  </r>
  <r>
    <s v="QEW-47945-682"/>
    <x v="319"/>
    <s v="42466-87067-DT"/>
    <s v="L-L-0.2"/>
    <n v="5"/>
    <x v="428"/>
    <s v="aelwincr@privacy.gov.au"/>
    <x v="0"/>
    <x v="3"/>
    <s v="L"/>
    <x v="3"/>
    <n v="4.7549999999999999"/>
    <n v="23.774999999999999"/>
    <s v="Liberica"/>
    <x v="1"/>
    <x v="1"/>
  </r>
  <r>
    <s v="PSY-45485-542"/>
    <x v="375"/>
    <s v="62246-99443-HF"/>
    <s v="R-D-0.5"/>
    <n v="3"/>
    <x v="429"/>
    <s v="abilbrookcs@booking.com"/>
    <x v="1"/>
    <x v="0"/>
    <s v="D"/>
    <x v="1"/>
    <n v="5.3699999999999992"/>
    <n v="16.11"/>
    <s v="Robusta"/>
    <x v="2"/>
    <x v="0"/>
  </r>
  <r>
    <s v="BAQ-74241-156"/>
    <x v="376"/>
    <s v="99869-55718-UU"/>
    <s v="R-D-0.2"/>
    <n v="4"/>
    <x v="430"/>
    <s v="rmckallct@sakura.ne.jp"/>
    <x v="2"/>
    <x v="0"/>
    <s v="D"/>
    <x v="3"/>
    <n v="2.6849999999999996"/>
    <n v="10.739999999999998"/>
    <s v="Robusta"/>
    <x v="2"/>
    <x v="0"/>
  </r>
  <r>
    <s v="BVU-77367-451"/>
    <x v="377"/>
    <s v="77421-46059-RY"/>
    <s v="A-D-1"/>
    <n v="5"/>
    <x v="431"/>
    <s v="bdailecu@vistaprint.com"/>
    <x v="0"/>
    <x v="2"/>
    <s v="D"/>
    <x v="0"/>
    <n v="9.9499999999999993"/>
    <n v="49.75"/>
    <s v="Arabica"/>
    <x v="2"/>
    <x v="0"/>
  </r>
  <r>
    <s v="TJE-91516-344"/>
    <x v="378"/>
    <s v="49894-06550-OQ"/>
    <s v="E-M-1"/>
    <n v="2"/>
    <x v="432"/>
    <s v="atrehernecv@state.tx.us"/>
    <x v="1"/>
    <x v="1"/>
    <s v="M"/>
    <x v="0"/>
    <n v="13.75"/>
    <n v="27.5"/>
    <s v="Excelsa"/>
    <x v="0"/>
    <x v="1"/>
  </r>
  <r>
    <s v="LIS-96202-702"/>
    <x v="277"/>
    <s v="72028-63343-SU"/>
    <s v="L-D-2.5"/>
    <n v="4"/>
    <x v="433"/>
    <s v="abrentnallcw@biglobe.ne.jp"/>
    <x v="2"/>
    <x v="3"/>
    <s v="D"/>
    <x v="2"/>
    <n v="29.784999999999997"/>
    <n v="119.13999999999999"/>
    <s v="Liberica"/>
    <x v="2"/>
    <x v="1"/>
  </r>
  <r>
    <s v="VIO-27668-766"/>
    <x v="379"/>
    <s v="10074-20104-NN"/>
    <s v="R-D-2.5"/>
    <n v="1"/>
    <x v="434"/>
    <s v="ddrinkallcx@psu.edu"/>
    <x v="0"/>
    <x v="0"/>
    <s v="D"/>
    <x v="2"/>
    <n v="20.584999999999997"/>
    <n v="20.584999999999997"/>
    <s v="Robusta"/>
    <x v="2"/>
    <x v="0"/>
  </r>
  <r>
    <s v="ZVG-20473-043"/>
    <x v="86"/>
    <s v="71769-10219-IM"/>
    <s v="A-D-0.2"/>
    <n v="3"/>
    <x v="435"/>
    <s v="dkornelcy@cyberchimps.com"/>
    <x v="0"/>
    <x v="2"/>
    <s v="D"/>
    <x v="3"/>
    <n v="2.9849999999999999"/>
    <n v="8.9550000000000001"/>
    <s v="Arabica"/>
    <x v="2"/>
    <x v="0"/>
  </r>
  <r>
    <s v="KGZ-56395-231"/>
    <x v="380"/>
    <s v="22221-71106-JD"/>
    <s v="A-D-0.5"/>
    <n v="1"/>
    <x v="436"/>
    <s v="rlequeuxcz@newyorker.com"/>
    <x v="0"/>
    <x v="2"/>
    <s v="D"/>
    <x v="1"/>
    <n v="5.97"/>
    <n v="5.97"/>
    <s v="Arabica"/>
    <x v="2"/>
    <x v="1"/>
  </r>
  <r>
    <s v="CUU-92244-729"/>
    <x v="381"/>
    <s v="99735-44927-OL"/>
    <s v="E-M-1"/>
    <n v="3"/>
    <x v="437"/>
    <s v="jmccaulld0@parallels.com"/>
    <x v="0"/>
    <x v="1"/>
    <s v="M"/>
    <x v="0"/>
    <n v="13.75"/>
    <n v="41.25"/>
    <s v="Excelsa"/>
    <x v="0"/>
    <x v="0"/>
  </r>
  <r>
    <s v="EHE-94714-312"/>
    <x v="382"/>
    <s v="27132-68907-RC"/>
    <s v="E-L-0.2"/>
    <n v="5"/>
    <x v="438"/>
    <s v="abrashda@plala.or.jp"/>
    <x v="0"/>
    <x v="1"/>
    <s v="L"/>
    <x v="3"/>
    <n v="4.4550000000000001"/>
    <n v="22.274999999999999"/>
    <s v="Excelsa"/>
    <x v="1"/>
    <x v="0"/>
  </r>
  <r>
    <s v="RTL-16205-161"/>
    <x v="11"/>
    <s v="90440-62727-HI"/>
    <s v="A-M-0.5"/>
    <n v="1"/>
    <x v="439"/>
    <s v="ahutchinsond2@imgur.com"/>
    <x v="0"/>
    <x v="2"/>
    <s v="M"/>
    <x v="1"/>
    <n v="6.75"/>
    <n v="6.75"/>
    <s v="Arabica"/>
    <x v="0"/>
    <x v="0"/>
  </r>
  <r>
    <s v="GTS-22482-014"/>
    <x v="167"/>
    <s v="36769-16558-SX"/>
    <s v="L-M-2.5"/>
    <n v="4"/>
    <x v="440"/>
    <s v=""/>
    <x v="0"/>
    <x v="3"/>
    <s v="M"/>
    <x v="2"/>
    <n v="33.464999999999996"/>
    <n v="133.85999999999999"/>
    <s v="Liberica"/>
    <x v="0"/>
    <x v="0"/>
  </r>
  <r>
    <s v="DYG-25473-881"/>
    <x v="383"/>
    <s v="10138-31681-SD"/>
    <s v="A-D-0.2"/>
    <n v="2"/>
    <x v="441"/>
    <s v="rdriversd4@hexun.com"/>
    <x v="0"/>
    <x v="2"/>
    <s v="D"/>
    <x v="3"/>
    <n v="2.9849999999999999"/>
    <n v="5.97"/>
    <s v="Arabica"/>
    <x v="2"/>
    <x v="1"/>
  </r>
  <r>
    <s v="HTR-21838-286"/>
    <x v="18"/>
    <s v="24669-76297-SF"/>
    <s v="A-L-1"/>
    <n v="2"/>
    <x v="442"/>
    <s v="hzeald5@google.de"/>
    <x v="0"/>
    <x v="2"/>
    <s v="L"/>
    <x v="0"/>
    <n v="12.95"/>
    <n v="25.9"/>
    <s v="Arabica"/>
    <x v="1"/>
    <x v="1"/>
  </r>
  <r>
    <s v="KYG-28296-920"/>
    <x v="84"/>
    <s v="78050-20355-DI"/>
    <s v="E-M-2.5"/>
    <n v="1"/>
    <x v="443"/>
    <s v="gsmallcombed6@ucla.edu"/>
    <x v="1"/>
    <x v="1"/>
    <s v="M"/>
    <x v="2"/>
    <n v="31.624999999999996"/>
    <n v="31.624999999999996"/>
    <s v="Excelsa"/>
    <x v="0"/>
    <x v="0"/>
  </r>
  <r>
    <s v="NNB-20459-430"/>
    <x v="384"/>
    <s v="79825-17822-UH"/>
    <s v="L-M-0.2"/>
    <n v="2"/>
    <x v="444"/>
    <s v="ddibleyd7@feedburner.com"/>
    <x v="0"/>
    <x v="3"/>
    <s v="M"/>
    <x v="3"/>
    <n v="4.3650000000000002"/>
    <n v="8.73"/>
    <s v="Liberica"/>
    <x v="0"/>
    <x v="1"/>
  </r>
  <r>
    <s v="FEK-14025-351"/>
    <x v="385"/>
    <s v="03990-21586-MQ"/>
    <s v="E-L-0.2"/>
    <n v="6"/>
    <x v="445"/>
    <s v="gdimitrioud8@chronoengine.com"/>
    <x v="0"/>
    <x v="1"/>
    <s v="L"/>
    <x v="3"/>
    <n v="4.4550000000000001"/>
    <n v="26.73"/>
    <s v="Excelsa"/>
    <x v="1"/>
    <x v="0"/>
  </r>
  <r>
    <s v="AWH-16980-469"/>
    <x v="386"/>
    <s v="27493-46921-TZ"/>
    <s v="L-M-0.2"/>
    <n v="6"/>
    <x v="446"/>
    <s v="fflanagand9@woothemes.com"/>
    <x v="0"/>
    <x v="3"/>
    <s v="M"/>
    <x v="3"/>
    <n v="4.3650000000000002"/>
    <n v="26.19"/>
    <s v="Liberica"/>
    <x v="0"/>
    <x v="1"/>
  </r>
  <r>
    <s v="ZPW-31329-741"/>
    <x v="387"/>
    <s v="27132-68907-RC"/>
    <s v="R-D-1"/>
    <n v="6"/>
    <x v="438"/>
    <s v="abrashda@plala.or.jp"/>
    <x v="0"/>
    <x v="0"/>
    <s v="D"/>
    <x v="0"/>
    <n v="8.9499999999999993"/>
    <n v="53.699999999999996"/>
    <s v="Robusta"/>
    <x v="2"/>
    <x v="0"/>
  </r>
  <r>
    <s v="ZPW-31329-741"/>
    <x v="387"/>
    <s v="27132-68907-RC"/>
    <s v="E-M-2.5"/>
    <n v="4"/>
    <x v="438"/>
    <s v="abrashda@plala.or.jp"/>
    <x v="0"/>
    <x v="1"/>
    <s v="M"/>
    <x v="2"/>
    <n v="31.624999999999996"/>
    <n v="126.49999999999999"/>
    <s v="Excelsa"/>
    <x v="0"/>
    <x v="0"/>
  </r>
  <r>
    <s v="ZPW-31329-741"/>
    <x v="387"/>
    <s v="27132-68907-RC"/>
    <s v="E-M-0.2"/>
    <n v="1"/>
    <x v="438"/>
    <s v="abrashda@plala.or.jp"/>
    <x v="0"/>
    <x v="1"/>
    <s v="M"/>
    <x v="3"/>
    <n v="4.125"/>
    <n v="4.125"/>
    <s v="Excelsa"/>
    <x v="0"/>
    <x v="0"/>
  </r>
  <r>
    <s v="UBI-83843-396"/>
    <x v="388"/>
    <s v="58816-74064-TF"/>
    <s v="R-L-1"/>
    <n v="2"/>
    <x v="447"/>
    <s v="nizhakovdd@aol.com"/>
    <x v="2"/>
    <x v="0"/>
    <s v="L"/>
    <x v="0"/>
    <n v="11.95"/>
    <n v="23.9"/>
    <s v="Robusta"/>
    <x v="1"/>
    <x v="1"/>
  </r>
  <r>
    <s v="VID-40587-569"/>
    <x v="389"/>
    <s v="09818-59895-EH"/>
    <s v="E-D-2.5"/>
    <n v="5"/>
    <x v="448"/>
    <s v="skeetsde@answers.com"/>
    <x v="0"/>
    <x v="1"/>
    <s v="D"/>
    <x v="2"/>
    <n v="27.945"/>
    <n v="139.72499999999999"/>
    <s v="Excelsa"/>
    <x v="2"/>
    <x v="0"/>
  </r>
  <r>
    <s v="KBB-52530-416"/>
    <x v="229"/>
    <s v="06488-46303-IZ"/>
    <s v="L-D-2.5"/>
    <n v="2"/>
    <x v="449"/>
    <s v=""/>
    <x v="0"/>
    <x v="3"/>
    <s v="D"/>
    <x v="2"/>
    <n v="29.784999999999997"/>
    <n v="59.569999999999993"/>
    <s v="Liberica"/>
    <x v="2"/>
    <x v="0"/>
  </r>
  <r>
    <s v="ISJ-48676-420"/>
    <x v="390"/>
    <s v="93046-67561-AY"/>
    <s v="L-L-0.5"/>
    <n v="6"/>
    <x v="450"/>
    <s v="kcakedg@huffingtonpost.com"/>
    <x v="0"/>
    <x v="3"/>
    <s v="L"/>
    <x v="1"/>
    <n v="9.51"/>
    <n v="57.06"/>
    <s v="Liberica"/>
    <x v="1"/>
    <x v="1"/>
  </r>
  <r>
    <s v="MIF-17920-768"/>
    <x v="391"/>
    <s v="68946-40750-LK"/>
    <s v="R-L-0.2"/>
    <n v="6"/>
    <x v="451"/>
    <s v="mhanseddh@instagram.com"/>
    <x v="1"/>
    <x v="0"/>
    <s v="L"/>
    <x v="3"/>
    <n v="3.5849999999999995"/>
    <n v="21.509999999999998"/>
    <s v="Robusta"/>
    <x v="1"/>
    <x v="0"/>
  </r>
  <r>
    <s v="CPX-19312-088"/>
    <x v="117"/>
    <s v="38387-64959-WW"/>
    <s v="L-M-0.5"/>
    <n v="6"/>
    <x v="452"/>
    <s v="fkienleindi@trellian.com"/>
    <x v="1"/>
    <x v="3"/>
    <s v="M"/>
    <x v="1"/>
    <n v="8.73"/>
    <n v="52.38"/>
    <s v="Liberica"/>
    <x v="0"/>
    <x v="0"/>
  </r>
  <r>
    <s v="RXI-67978-260"/>
    <x v="392"/>
    <s v="48418-60841-CC"/>
    <s v="E-D-1"/>
    <n v="6"/>
    <x v="453"/>
    <s v="kegglestonedj@sphinn.com"/>
    <x v="1"/>
    <x v="1"/>
    <s v="D"/>
    <x v="0"/>
    <n v="12.15"/>
    <n v="72.900000000000006"/>
    <s v="Excelsa"/>
    <x v="2"/>
    <x v="1"/>
  </r>
  <r>
    <s v="LKE-14821-285"/>
    <x v="393"/>
    <s v="13736-92418-JS"/>
    <s v="R-M-0.2"/>
    <n v="5"/>
    <x v="454"/>
    <s v="bsemkinsdk@unc.edu"/>
    <x v="1"/>
    <x v="0"/>
    <s v="M"/>
    <x v="3"/>
    <n v="2.9849999999999999"/>
    <n v="14.924999999999999"/>
    <s v="Robusta"/>
    <x v="0"/>
    <x v="0"/>
  </r>
  <r>
    <s v="LRK-97117-150"/>
    <x v="394"/>
    <s v="33000-22405-LO"/>
    <s v="L-L-1"/>
    <n v="6"/>
    <x v="455"/>
    <s v="slorenzettidl@is.gd"/>
    <x v="0"/>
    <x v="3"/>
    <s v="L"/>
    <x v="0"/>
    <n v="15.85"/>
    <n v="95.1"/>
    <s v="Liberica"/>
    <x v="1"/>
    <x v="1"/>
  </r>
  <r>
    <s v="IGK-51227-573"/>
    <x v="137"/>
    <s v="46959-60474-LT"/>
    <s v="L-D-0.5"/>
    <n v="2"/>
    <x v="456"/>
    <s v="bgiannazzidm@apple.com"/>
    <x v="0"/>
    <x v="3"/>
    <s v="D"/>
    <x v="1"/>
    <n v="7.77"/>
    <n v="15.54"/>
    <s v="Liberica"/>
    <x v="2"/>
    <x v="1"/>
  </r>
  <r>
    <s v="ZAY-43009-775"/>
    <x v="395"/>
    <s v="73431-39823-UP"/>
    <s v="L-D-0.2"/>
    <n v="6"/>
    <x v="457"/>
    <s v=""/>
    <x v="0"/>
    <x v="3"/>
    <s v="D"/>
    <x v="3"/>
    <n v="3.8849999999999998"/>
    <n v="23.31"/>
    <s v="Liberica"/>
    <x v="2"/>
    <x v="1"/>
  </r>
  <r>
    <s v="EMA-63190-618"/>
    <x v="396"/>
    <s v="90993-98984-JK"/>
    <s v="E-M-0.2"/>
    <n v="1"/>
    <x v="458"/>
    <s v="ulethbrigdo@hc360.com"/>
    <x v="0"/>
    <x v="1"/>
    <s v="M"/>
    <x v="3"/>
    <n v="4.125"/>
    <n v="4.125"/>
    <s v="Excelsa"/>
    <x v="0"/>
    <x v="0"/>
  </r>
  <r>
    <s v="FBI-35855-418"/>
    <x v="189"/>
    <s v="06552-04430-AG"/>
    <s v="R-M-0.5"/>
    <n v="6"/>
    <x v="459"/>
    <s v="sfarnishdp@dmoz.org"/>
    <x v="2"/>
    <x v="0"/>
    <s v="M"/>
    <x v="1"/>
    <n v="5.97"/>
    <n v="35.82"/>
    <s v="Robusta"/>
    <x v="0"/>
    <x v="1"/>
  </r>
  <r>
    <s v="TXB-80533-417"/>
    <x v="8"/>
    <s v="54597-57004-QM"/>
    <s v="L-L-1"/>
    <n v="2"/>
    <x v="460"/>
    <s v="fjecockdq@unicef.org"/>
    <x v="0"/>
    <x v="3"/>
    <s v="L"/>
    <x v="0"/>
    <n v="15.85"/>
    <n v="31.7"/>
    <s v="Liberica"/>
    <x v="1"/>
    <x v="1"/>
  </r>
  <r>
    <s v="MBM-00112-248"/>
    <x v="397"/>
    <s v="50238-24377-ZS"/>
    <s v="L-L-1"/>
    <n v="5"/>
    <x v="461"/>
    <s v=""/>
    <x v="0"/>
    <x v="3"/>
    <s v="L"/>
    <x v="0"/>
    <n v="15.85"/>
    <n v="79.25"/>
    <s v="Liberica"/>
    <x v="1"/>
    <x v="0"/>
  </r>
  <r>
    <s v="EUO-69145-988"/>
    <x v="398"/>
    <s v="60370-41934-IF"/>
    <s v="E-D-0.2"/>
    <n v="3"/>
    <x v="462"/>
    <s v="hpallisterds@ning.com"/>
    <x v="0"/>
    <x v="1"/>
    <s v="D"/>
    <x v="3"/>
    <n v="3.645"/>
    <n v="10.935"/>
    <s v="Excelsa"/>
    <x v="2"/>
    <x v="1"/>
  </r>
  <r>
    <s v="GYA-80327-368"/>
    <x v="399"/>
    <s v="06899-54551-EH"/>
    <s v="A-D-1"/>
    <n v="4"/>
    <x v="463"/>
    <s v="cmershdt@drupal.org"/>
    <x v="1"/>
    <x v="2"/>
    <s v="D"/>
    <x v="0"/>
    <n v="9.9499999999999993"/>
    <n v="39.799999999999997"/>
    <s v="Arabica"/>
    <x v="2"/>
    <x v="1"/>
  </r>
  <r>
    <s v="TNW-41601-420"/>
    <x v="400"/>
    <s v="66458-91190-YC"/>
    <s v="R-M-1"/>
    <n v="5"/>
    <x v="464"/>
    <s v="murione5@alexa.com"/>
    <x v="1"/>
    <x v="0"/>
    <s v="M"/>
    <x v="0"/>
    <n v="9.9499999999999993"/>
    <n v="49.75"/>
    <s v="Robusta"/>
    <x v="0"/>
    <x v="0"/>
  </r>
  <r>
    <s v="ALR-62963-723"/>
    <x v="401"/>
    <s v="80463-43913-WZ"/>
    <s v="R-D-0.2"/>
    <n v="3"/>
    <x v="465"/>
    <s v=""/>
    <x v="1"/>
    <x v="0"/>
    <s v="D"/>
    <x v="3"/>
    <n v="2.6849999999999996"/>
    <n v="8.0549999999999997"/>
    <s v="Robusta"/>
    <x v="2"/>
    <x v="0"/>
  </r>
  <r>
    <s v="JIG-27636-870"/>
    <x v="402"/>
    <s v="67204-04870-LG"/>
    <s v="R-L-1"/>
    <n v="4"/>
    <x v="466"/>
    <s v=""/>
    <x v="0"/>
    <x v="0"/>
    <s v="L"/>
    <x v="0"/>
    <n v="11.95"/>
    <n v="47.8"/>
    <s v="Robusta"/>
    <x v="1"/>
    <x v="1"/>
  </r>
  <r>
    <s v="CTE-31437-326"/>
    <x v="6"/>
    <s v="22721-63196-UJ"/>
    <s v="R-M-0.2"/>
    <n v="4"/>
    <x v="467"/>
    <s v="gduckerdx@patch.com"/>
    <x v="2"/>
    <x v="0"/>
    <s v="M"/>
    <x v="3"/>
    <n v="2.9849999999999999"/>
    <n v="11.94"/>
    <s v="Robusta"/>
    <x v="0"/>
    <x v="1"/>
  </r>
  <r>
    <s v="CTE-31437-326"/>
    <x v="6"/>
    <s v="22721-63196-UJ"/>
    <s v="E-M-0.2"/>
    <n v="4"/>
    <x v="467"/>
    <s v="gduckerdx@patch.com"/>
    <x v="2"/>
    <x v="1"/>
    <s v="M"/>
    <x v="3"/>
    <n v="4.125"/>
    <n v="16.5"/>
    <s v="Excelsa"/>
    <x v="0"/>
    <x v="1"/>
  </r>
  <r>
    <s v="CTE-31437-326"/>
    <x v="6"/>
    <s v="22721-63196-UJ"/>
    <s v="L-D-1"/>
    <n v="4"/>
    <x v="467"/>
    <s v="gduckerdx@patch.com"/>
    <x v="2"/>
    <x v="3"/>
    <s v="D"/>
    <x v="0"/>
    <n v="12.95"/>
    <n v="51.8"/>
    <s v="Liberica"/>
    <x v="2"/>
    <x v="1"/>
  </r>
  <r>
    <s v="CTE-31437-326"/>
    <x v="6"/>
    <s v="22721-63196-UJ"/>
    <s v="L-L-0.2"/>
    <n v="3"/>
    <x v="467"/>
    <s v="gduckerdx@patch.com"/>
    <x v="2"/>
    <x v="3"/>
    <s v="L"/>
    <x v="3"/>
    <n v="4.7549999999999999"/>
    <n v="14.265000000000001"/>
    <s v="Liberica"/>
    <x v="1"/>
    <x v="1"/>
  </r>
  <r>
    <s v="SLD-63003-334"/>
    <x v="403"/>
    <s v="55515-37571-RS"/>
    <s v="L-M-0.2"/>
    <n v="6"/>
    <x v="468"/>
    <s v="wstearleye1@census.gov"/>
    <x v="0"/>
    <x v="3"/>
    <s v="M"/>
    <x v="3"/>
    <n v="4.3650000000000002"/>
    <n v="26.19"/>
    <s v="Liberica"/>
    <x v="0"/>
    <x v="1"/>
  </r>
  <r>
    <s v="BXN-64230-789"/>
    <x v="404"/>
    <s v="25598-77476-CB"/>
    <s v="A-L-1"/>
    <n v="2"/>
    <x v="469"/>
    <s v="dwincere2@marriott.com"/>
    <x v="0"/>
    <x v="2"/>
    <s v="L"/>
    <x v="0"/>
    <n v="12.95"/>
    <n v="25.9"/>
    <s v="Arabica"/>
    <x v="1"/>
    <x v="0"/>
  </r>
  <r>
    <s v="XEE-37895-169"/>
    <x v="21"/>
    <s v="14888-85625-TM"/>
    <s v="A-L-2.5"/>
    <n v="3"/>
    <x v="470"/>
    <s v="plyfielde3@baidu.com"/>
    <x v="0"/>
    <x v="2"/>
    <s v="L"/>
    <x v="2"/>
    <n v="29.784999999999997"/>
    <n v="89.35499999999999"/>
    <s v="Arabica"/>
    <x v="1"/>
    <x v="0"/>
  </r>
  <r>
    <s v="ZTX-80764-911"/>
    <x v="239"/>
    <s v="92793-68332-NR"/>
    <s v="L-D-0.5"/>
    <n v="6"/>
    <x v="471"/>
    <s v="hperrise4@studiopress.com"/>
    <x v="1"/>
    <x v="3"/>
    <s v="D"/>
    <x v="1"/>
    <n v="7.77"/>
    <n v="46.62"/>
    <s v="Liberica"/>
    <x v="2"/>
    <x v="1"/>
  </r>
  <r>
    <s v="WVT-88135-549"/>
    <x v="405"/>
    <s v="66458-91190-YC"/>
    <s v="A-D-1"/>
    <n v="3"/>
    <x v="464"/>
    <s v="murione5@alexa.com"/>
    <x v="1"/>
    <x v="2"/>
    <s v="D"/>
    <x v="0"/>
    <n v="9.9499999999999993"/>
    <n v="29.849999999999998"/>
    <s v="Arabica"/>
    <x v="2"/>
    <x v="0"/>
  </r>
  <r>
    <s v="IPA-94170-889"/>
    <x v="292"/>
    <s v="64439-27325-LG"/>
    <s v="R-L-0.2"/>
    <n v="3"/>
    <x v="472"/>
    <s v="ckide6@narod.ru"/>
    <x v="1"/>
    <x v="0"/>
    <s v="L"/>
    <x v="3"/>
    <n v="3.5849999999999995"/>
    <n v="10.754999999999999"/>
    <s v="Robusta"/>
    <x v="1"/>
    <x v="0"/>
  </r>
  <r>
    <s v="YQL-63755-365"/>
    <x v="117"/>
    <s v="78570-76770-LB"/>
    <s v="A-M-0.2"/>
    <n v="4"/>
    <x v="473"/>
    <s v="cbeinee7@xinhuanet.com"/>
    <x v="0"/>
    <x v="2"/>
    <s v="M"/>
    <x v="3"/>
    <n v="3.375"/>
    <n v="13.5"/>
    <s v="Arabica"/>
    <x v="0"/>
    <x v="0"/>
  </r>
  <r>
    <s v="RKW-81145-984"/>
    <x v="406"/>
    <s v="98661-69719-VI"/>
    <s v="L-L-1"/>
    <n v="3"/>
    <x v="474"/>
    <s v="cbakeupe8@globo.com"/>
    <x v="0"/>
    <x v="3"/>
    <s v="L"/>
    <x v="0"/>
    <n v="15.85"/>
    <n v="47.55"/>
    <s v="Liberica"/>
    <x v="1"/>
    <x v="1"/>
  </r>
  <r>
    <s v="MBT-23379-866"/>
    <x v="407"/>
    <s v="82990-92703-IX"/>
    <s v="L-L-1"/>
    <n v="5"/>
    <x v="475"/>
    <s v="nhelkine9@example.com"/>
    <x v="0"/>
    <x v="3"/>
    <s v="L"/>
    <x v="0"/>
    <n v="15.85"/>
    <n v="79.25"/>
    <s v="Liberica"/>
    <x v="1"/>
    <x v="1"/>
  </r>
  <r>
    <s v="GEJ-39834-935"/>
    <x v="408"/>
    <s v="49412-86877-VY"/>
    <s v="L-M-0.2"/>
    <n v="6"/>
    <x v="476"/>
    <s v="pwitheringtonea@networkadvertising.org"/>
    <x v="0"/>
    <x v="3"/>
    <s v="M"/>
    <x v="3"/>
    <n v="4.3650000000000002"/>
    <n v="26.19"/>
    <s v="Liberica"/>
    <x v="0"/>
    <x v="0"/>
  </r>
  <r>
    <s v="KRW-91640-596"/>
    <x v="409"/>
    <s v="70879-00984-FJ"/>
    <s v="R-L-0.5"/>
    <n v="3"/>
    <x v="477"/>
    <s v="ttilzeyeb@hostgator.com"/>
    <x v="0"/>
    <x v="0"/>
    <s v="L"/>
    <x v="1"/>
    <n v="7.169999999999999"/>
    <n v="21.509999999999998"/>
    <s v="Robusta"/>
    <x v="1"/>
    <x v="1"/>
  </r>
  <r>
    <s v="AOT-70449-651"/>
    <x v="410"/>
    <s v="53414-73391-CR"/>
    <s v="R-D-2.5"/>
    <n v="5"/>
    <x v="478"/>
    <s v=""/>
    <x v="0"/>
    <x v="0"/>
    <s v="D"/>
    <x v="2"/>
    <n v="20.584999999999997"/>
    <n v="102.92499999999998"/>
    <s v="Robusta"/>
    <x v="2"/>
    <x v="0"/>
  </r>
  <r>
    <s v="DGC-21813-731"/>
    <x v="127"/>
    <s v="43606-83072-OA"/>
    <s v="L-D-0.2"/>
    <n v="2"/>
    <x v="479"/>
    <s v=""/>
    <x v="0"/>
    <x v="3"/>
    <s v="D"/>
    <x v="3"/>
    <n v="3.8849999999999998"/>
    <n v="7.77"/>
    <s v="Liberica"/>
    <x v="2"/>
    <x v="1"/>
  </r>
  <r>
    <s v="JBE-92943-643"/>
    <x v="411"/>
    <s v="84466-22864-CE"/>
    <s v="E-D-2.5"/>
    <n v="5"/>
    <x v="480"/>
    <s v="kimortsee@alexa.com"/>
    <x v="0"/>
    <x v="1"/>
    <s v="D"/>
    <x v="2"/>
    <n v="27.945"/>
    <n v="139.72499999999999"/>
    <s v="Excelsa"/>
    <x v="2"/>
    <x v="1"/>
  </r>
  <r>
    <s v="ZIL-34948-499"/>
    <x v="112"/>
    <s v="66458-91190-YC"/>
    <s v="A-D-0.5"/>
    <n v="2"/>
    <x v="464"/>
    <s v="murione5@alexa.com"/>
    <x v="1"/>
    <x v="2"/>
    <s v="D"/>
    <x v="1"/>
    <n v="5.97"/>
    <n v="11.94"/>
    <s v="Arabica"/>
    <x v="2"/>
    <x v="0"/>
  </r>
  <r>
    <s v="JSU-23781-256"/>
    <x v="412"/>
    <s v="76499-89100-JQ"/>
    <s v="L-D-0.2"/>
    <n v="1"/>
    <x v="481"/>
    <s v="marmisteadeg@blogtalkradio.com"/>
    <x v="0"/>
    <x v="3"/>
    <s v="D"/>
    <x v="3"/>
    <n v="3.8849999999999998"/>
    <n v="3.8849999999999998"/>
    <s v="Liberica"/>
    <x v="2"/>
    <x v="1"/>
  </r>
  <r>
    <s v="JSU-23781-256"/>
    <x v="412"/>
    <s v="76499-89100-JQ"/>
    <s v="R-M-1"/>
    <n v="4"/>
    <x v="481"/>
    <s v="marmisteadeg@blogtalkradio.com"/>
    <x v="0"/>
    <x v="0"/>
    <s v="M"/>
    <x v="0"/>
    <n v="9.9499999999999993"/>
    <n v="39.799999999999997"/>
    <s v="Robusta"/>
    <x v="0"/>
    <x v="1"/>
  </r>
  <r>
    <s v="VPX-44956-367"/>
    <x v="413"/>
    <s v="39582-35773-ZJ"/>
    <s v="R-M-0.5"/>
    <n v="5"/>
    <x v="482"/>
    <s v="vupstoneei@google.pl"/>
    <x v="0"/>
    <x v="0"/>
    <s v="M"/>
    <x v="1"/>
    <n v="5.97"/>
    <n v="29.849999999999998"/>
    <s v="Robusta"/>
    <x v="0"/>
    <x v="1"/>
  </r>
  <r>
    <s v="VTB-46451-959"/>
    <x v="414"/>
    <s v="66240-46962-IO"/>
    <s v="L-D-2.5"/>
    <n v="1"/>
    <x v="483"/>
    <s v="bbeelbyej@rediff.com"/>
    <x v="1"/>
    <x v="3"/>
    <s v="D"/>
    <x v="2"/>
    <n v="29.784999999999997"/>
    <n v="29.784999999999997"/>
    <s v="Liberica"/>
    <x v="2"/>
    <x v="1"/>
  </r>
  <r>
    <s v="DNZ-11665-950"/>
    <x v="415"/>
    <s v="10637-45522-ID"/>
    <s v="L-L-2.5"/>
    <n v="2"/>
    <x v="484"/>
    <s v=""/>
    <x v="0"/>
    <x v="3"/>
    <s v="L"/>
    <x v="2"/>
    <n v="36.454999999999998"/>
    <n v="72.91"/>
    <s v="Liberica"/>
    <x v="1"/>
    <x v="1"/>
  </r>
  <r>
    <s v="ITR-54735-364"/>
    <x v="416"/>
    <s v="92599-58687-CS"/>
    <s v="R-D-0.2"/>
    <n v="5"/>
    <x v="485"/>
    <s v=""/>
    <x v="0"/>
    <x v="0"/>
    <s v="D"/>
    <x v="3"/>
    <n v="2.6849999999999996"/>
    <n v="13.424999999999997"/>
    <s v="Robusta"/>
    <x v="2"/>
    <x v="0"/>
  </r>
  <r>
    <s v="YDS-02797-307"/>
    <x v="417"/>
    <s v="06058-48844-PI"/>
    <s v="E-M-2.5"/>
    <n v="4"/>
    <x v="486"/>
    <s v="wspeechlyem@amazon.com"/>
    <x v="0"/>
    <x v="1"/>
    <s v="M"/>
    <x v="2"/>
    <n v="31.624999999999996"/>
    <n v="126.49999999999999"/>
    <s v="Excelsa"/>
    <x v="0"/>
    <x v="0"/>
  </r>
  <r>
    <s v="BPG-68988-842"/>
    <x v="418"/>
    <s v="53631-24432-SY"/>
    <s v="E-M-0.5"/>
    <n v="5"/>
    <x v="487"/>
    <s v="iphillpoten@buzzfeed.com"/>
    <x v="2"/>
    <x v="1"/>
    <s v="M"/>
    <x v="1"/>
    <n v="8.25"/>
    <n v="41.25"/>
    <s v="Excelsa"/>
    <x v="0"/>
    <x v="1"/>
  </r>
  <r>
    <s v="XZG-51938-658"/>
    <x v="419"/>
    <s v="18275-73980-KL"/>
    <s v="E-L-0.5"/>
    <n v="6"/>
    <x v="488"/>
    <s v="lpennaccieo@statcounter.com"/>
    <x v="0"/>
    <x v="1"/>
    <s v="L"/>
    <x v="1"/>
    <n v="8.91"/>
    <n v="53.46"/>
    <s v="Excelsa"/>
    <x v="1"/>
    <x v="1"/>
  </r>
  <r>
    <s v="KAR-24978-271"/>
    <x v="420"/>
    <s v="23187-65750-HZ"/>
    <s v="R-M-1"/>
    <n v="6"/>
    <x v="489"/>
    <s v="sarpinep@moonfruit.com"/>
    <x v="0"/>
    <x v="0"/>
    <s v="M"/>
    <x v="0"/>
    <n v="9.9499999999999993"/>
    <n v="59.699999999999996"/>
    <s v="Robusta"/>
    <x v="0"/>
    <x v="1"/>
  </r>
  <r>
    <s v="FQK-28730-361"/>
    <x v="421"/>
    <s v="22725-79522-GP"/>
    <s v="R-M-1"/>
    <n v="6"/>
    <x v="490"/>
    <s v="dfrieseq@cargocollective.com"/>
    <x v="0"/>
    <x v="0"/>
    <s v="M"/>
    <x v="0"/>
    <n v="9.9499999999999993"/>
    <n v="59.699999999999996"/>
    <s v="Robusta"/>
    <x v="0"/>
    <x v="1"/>
  </r>
  <r>
    <s v="BGB-67996-089"/>
    <x v="422"/>
    <s v="06279-72603-JE"/>
    <s v="R-D-1"/>
    <n v="5"/>
    <x v="491"/>
    <s v="rsharerer@flavors.me"/>
    <x v="0"/>
    <x v="0"/>
    <s v="D"/>
    <x v="0"/>
    <n v="8.9499999999999993"/>
    <n v="44.75"/>
    <s v="Robusta"/>
    <x v="2"/>
    <x v="1"/>
  </r>
  <r>
    <s v="XMC-20620-809"/>
    <x v="423"/>
    <s v="83543-79246-ON"/>
    <s v="E-M-0.5"/>
    <n v="2"/>
    <x v="492"/>
    <s v="nnasebyes@umich.edu"/>
    <x v="0"/>
    <x v="1"/>
    <s v="M"/>
    <x v="1"/>
    <n v="8.25"/>
    <n v="16.5"/>
    <s v="Excelsa"/>
    <x v="0"/>
    <x v="0"/>
  </r>
  <r>
    <s v="ZSO-58292-191"/>
    <x v="109"/>
    <s v="66794-66795-VW"/>
    <s v="R-D-0.5"/>
    <n v="4"/>
    <x v="493"/>
    <s v=""/>
    <x v="0"/>
    <x v="0"/>
    <s v="D"/>
    <x v="1"/>
    <n v="5.3699999999999992"/>
    <n v="21.479999999999997"/>
    <s v="Robusta"/>
    <x v="2"/>
    <x v="1"/>
  </r>
  <r>
    <s v="LWJ-06793-303"/>
    <x v="204"/>
    <s v="95424-67020-AP"/>
    <s v="R-M-2.5"/>
    <n v="2"/>
    <x v="494"/>
    <s v="koculleneu@ca.gov"/>
    <x v="1"/>
    <x v="0"/>
    <s v="M"/>
    <x v="2"/>
    <n v="22.884999999999998"/>
    <n v="45.769999999999996"/>
    <s v="Robusta"/>
    <x v="0"/>
    <x v="0"/>
  </r>
  <r>
    <s v="FLM-82229-989"/>
    <x v="424"/>
    <s v="73017-69644-MS"/>
    <s v="L-L-0.2"/>
    <n v="2"/>
    <x v="495"/>
    <s v=""/>
    <x v="1"/>
    <x v="3"/>
    <s v="L"/>
    <x v="3"/>
    <n v="4.7549999999999999"/>
    <n v="9.51"/>
    <s v="Liberica"/>
    <x v="1"/>
    <x v="1"/>
  </r>
  <r>
    <s v="CPV-90280-133"/>
    <x v="13"/>
    <s v="66458-91190-YC"/>
    <s v="R-D-0.2"/>
    <n v="3"/>
    <x v="464"/>
    <s v="murione5@alexa.com"/>
    <x v="1"/>
    <x v="0"/>
    <s v="D"/>
    <x v="3"/>
    <n v="2.6849999999999996"/>
    <n v="8.0549999999999997"/>
    <s v="Robusta"/>
    <x v="2"/>
    <x v="0"/>
  </r>
  <r>
    <s v="OGW-60685-912"/>
    <x v="224"/>
    <s v="67423-10113-LM"/>
    <s v="E-D-2.5"/>
    <n v="4"/>
    <x v="496"/>
    <s v="hbranganex@woothemes.com"/>
    <x v="0"/>
    <x v="1"/>
    <s v="D"/>
    <x v="2"/>
    <n v="27.945"/>
    <n v="111.78"/>
    <s v="Excelsa"/>
    <x v="2"/>
    <x v="0"/>
  </r>
  <r>
    <s v="DEC-11160-362"/>
    <x v="220"/>
    <s v="48582-05061-RY"/>
    <s v="R-D-0.2"/>
    <n v="4"/>
    <x v="497"/>
    <s v="agallyoney@engadget.com"/>
    <x v="0"/>
    <x v="0"/>
    <s v="D"/>
    <x v="3"/>
    <n v="2.6849999999999996"/>
    <n v="10.739999999999998"/>
    <s v="Robusta"/>
    <x v="2"/>
    <x v="0"/>
  </r>
  <r>
    <s v="WCT-07869-499"/>
    <x v="91"/>
    <s v="32031-49093-KE"/>
    <s v="R-D-0.5"/>
    <n v="5"/>
    <x v="498"/>
    <s v="bdomangeez@yahoo.co.jp"/>
    <x v="0"/>
    <x v="0"/>
    <s v="D"/>
    <x v="1"/>
    <n v="5.3699999999999992"/>
    <n v="26.849999999999994"/>
    <s v="Robusta"/>
    <x v="2"/>
    <x v="1"/>
  </r>
  <r>
    <s v="FHD-89872-325"/>
    <x v="425"/>
    <s v="31715-98714-OO"/>
    <s v="L-L-1"/>
    <n v="4"/>
    <x v="499"/>
    <s v="koslerf0@gmpg.org"/>
    <x v="0"/>
    <x v="3"/>
    <s v="L"/>
    <x v="0"/>
    <n v="15.85"/>
    <n v="63.4"/>
    <s v="Liberica"/>
    <x v="1"/>
    <x v="0"/>
  </r>
  <r>
    <s v="AZF-45991-584"/>
    <x v="426"/>
    <s v="73759-17258-KA"/>
    <s v="A-D-2.5"/>
    <n v="1"/>
    <x v="500"/>
    <s v=""/>
    <x v="1"/>
    <x v="2"/>
    <s v="D"/>
    <x v="2"/>
    <n v="22.884999999999998"/>
    <n v="22.884999999999998"/>
    <s v="Arabica"/>
    <x v="2"/>
    <x v="0"/>
  </r>
  <r>
    <s v="MDG-14481-513"/>
    <x v="427"/>
    <s v="64897-79178-MH"/>
    <s v="A-M-2.5"/>
    <n v="4"/>
    <x v="501"/>
    <s v="zpellettf2@dailymotion.com"/>
    <x v="0"/>
    <x v="2"/>
    <s v="M"/>
    <x v="2"/>
    <n v="25.874999999999996"/>
    <n v="103.49999999999999"/>
    <s v="Arabica"/>
    <x v="0"/>
    <x v="1"/>
  </r>
  <r>
    <s v="OFN-49424-848"/>
    <x v="428"/>
    <s v="73346-85564-JB"/>
    <s v="R-L-2.5"/>
    <n v="2"/>
    <x v="502"/>
    <s v="isprakesf3@spiegel.de"/>
    <x v="0"/>
    <x v="0"/>
    <s v="L"/>
    <x v="2"/>
    <n v="27.484999999999996"/>
    <n v="54.969999999999992"/>
    <s v="Robusta"/>
    <x v="1"/>
    <x v="1"/>
  </r>
  <r>
    <s v="NFA-03411-746"/>
    <x v="383"/>
    <s v="07476-13102-NJ"/>
    <s v="A-L-0.5"/>
    <n v="2"/>
    <x v="503"/>
    <s v="hfromantf4@ucsd.edu"/>
    <x v="0"/>
    <x v="2"/>
    <s v="L"/>
    <x v="1"/>
    <n v="7.77"/>
    <n v="15.54"/>
    <s v="Arabica"/>
    <x v="1"/>
    <x v="1"/>
  </r>
  <r>
    <s v="CYM-74988-450"/>
    <x v="156"/>
    <s v="87223-37422-SK"/>
    <s v="L-D-0.2"/>
    <n v="4"/>
    <x v="504"/>
    <s v="rflearf5@artisteer.com"/>
    <x v="2"/>
    <x v="3"/>
    <s v="D"/>
    <x v="3"/>
    <n v="3.8849999999999998"/>
    <n v="15.54"/>
    <s v="Liberica"/>
    <x v="2"/>
    <x v="1"/>
  </r>
  <r>
    <s v="WTV-24996-658"/>
    <x v="429"/>
    <s v="57837-15577-YK"/>
    <s v="E-D-2.5"/>
    <n v="3"/>
    <x v="505"/>
    <s v=""/>
    <x v="1"/>
    <x v="1"/>
    <s v="D"/>
    <x v="2"/>
    <n v="27.945"/>
    <n v="83.835000000000008"/>
    <s v="Excelsa"/>
    <x v="2"/>
    <x v="1"/>
  </r>
  <r>
    <s v="DSL-69915-544"/>
    <x v="103"/>
    <s v="10142-55267-YO"/>
    <s v="R-L-0.2"/>
    <n v="3"/>
    <x v="506"/>
    <s v="wlightollersf9@baidu.com"/>
    <x v="0"/>
    <x v="0"/>
    <s v="L"/>
    <x v="3"/>
    <n v="3.5849999999999995"/>
    <n v="10.754999999999999"/>
    <s v="Robusta"/>
    <x v="1"/>
    <x v="0"/>
  </r>
  <r>
    <s v="NBT-35757-542"/>
    <x v="361"/>
    <s v="73647-66148-VM"/>
    <s v="E-L-0.2"/>
    <n v="3"/>
    <x v="507"/>
    <s v="bmundenf8@elpais.com"/>
    <x v="0"/>
    <x v="1"/>
    <s v="L"/>
    <x v="3"/>
    <n v="4.4550000000000001"/>
    <n v="13.365"/>
    <s v="Excelsa"/>
    <x v="1"/>
    <x v="0"/>
  </r>
  <r>
    <s v="OYU-25085-528"/>
    <x v="120"/>
    <s v="10142-55267-YO"/>
    <s v="E-L-0.2"/>
    <n v="4"/>
    <x v="506"/>
    <s v="wlightollersf9@baidu.com"/>
    <x v="0"/>
    <x v="1"/>
    <s v="L"/>
    <x v="3"/>
    <n v="4.4550000000000001"/>
    <n v="17.82"/>
    <s v="Excelsa"/>
    <x v="1"/>
    <x v="0"/>
  </r>
  <r>
    <s v="XCG-07109-195"/>
    <x v="430"/>
    <s v="92976-19453-DT"/>
    <s v="L-D-0.2"/>
    <n v="6"/>
    <x v="508"/>
    <s v="nbrakespearfa@rediff.com"/>
    <x v="0"/>
    <x v="3"/>
    <s v="D"/>
    <x v="3"/>
    <n v="3.8849999999999998"/>
    <n v="23.31"/>
    <s v="Liberica"/>
    <x v="2"/>
    <x v="0"/>
  </r>
  <r>
    <s v="YZA-25234-630"/>
    <x v="125"/>
    <s v="89757-51438-HX"/>
    <s v="E-D-0.2"/>
    <n v="2"/>
    <x v="509"/>
    <s v="mglawsopfb@reverbnation.com"/>
    <x v="0"/>
    <x v="1"/>
    <s v="D"/>
    <x v="3"/>
    <n v="3.645"/>
    <n v="7.29"/>
    <s v="Excelsa"/>
    <x v="2"/>
    <x v="1"/>
  </r>
  <r>
    <s v="OKU-29966-417"/>
    <x v="431"/>
    <s v="76192-13390-HZ"/>
    <s v="E-L-0.2"/>
    <n v="4"/>
    <x v="510"/>
    <s v="galbertsfc@etsy.com"/>
    <x v="2"/>
    <x v="1"/>
    <s v="L"/>
    <x v="3"/>
    <n v="4.4550000000000001"/>
    <n v="17.82"/>
    <s v="Excelsa"/>
    <x v="1"/>
    <x v="0"/>
  </r>
  <r>
    <s v="MEX-29350-659"/>
    <x v="40"/>
    <s v="02009-87294-SY"/>
    <s v="E-M-1"/>
    <n v="5"/>
    <x v="511"/>
    <s v="vpolglasefd@about.me"/>
    <x v="0"/>
    <x v="1"/>
    <s v="M"/>
    <x v="0"/>
    <n v="13.75"/>
    <n v="68.75"/>
    <s v="Excelsa"/>
    <x v="0"/>
    <x v="1"/>
  </r>
  <r>
    <s v="NOY-99738-977"/>
    <x v="432"/>
    <s v="82872-34456-LJ"/>
    <s v="R-L-2.5"/>
    <n v="2"/>
    <x v="512"/>
    <s v=""/>
    <x v="2"/>
    <x v="0"/>
    <s v="L"/>
    <x v="2"/>
    <n v="27.484999999999996"/>
    <n v="54.969999999999992"/>
    <s v="Robusta"/>
    <x v="1"/>
    <x v="0"/>
  </r>
  <r>
    <s v="TCR-01064-030"/>
    <x v="254"/>
    <s v="13181-04387-LI"/>
    <s v="E-M-1"/>
    <n v="6"/>
    <x v="513"/>
    <s v="sbuschff@so-net.ne.jp"/>
    <x v="1"/>
    <x v="1"/>
    <s v="M"/>
    <x v="0"/>
    <n v="13.75"/>
    <n v="82.5"/>
    <s v="Excelsa"/>
    <x v="0"/>
    <x v="1"/>
  </r>
  <r>
    <s v="YUL-42750-776"/>
    <x v="219"/>
    <s v="24845-36117-TI"/>
    <s v="L-M-0.2"/>
    <n v="2"/>
    <x v="514"/>
    <s v="craisbeckfg@webnode.com"/>
    <x v="0"/>
    <x v="3"/>
    <s v="M"/>
    <x v="3"/>
    <n v="4.3650000000000002"/>
    <n v="8.73"/>
    <s v="Liberica"/>
    <x v="0"/>
    <x v="0"/>
  </r>
  <r>
    <s v="XQJ-86887-506"/>
    <x v="433"/>
    <s v="66458-91190-YC"/>
    <s v="E-L-1"/>
    <n v="4"/>
    <x v="464"/>
    <s v="murione5@alexa.com"/>
    <x v="1"/>
    <x v="1"/>
    <s v="L"/>
    <x v="0"/>
    <n v="14.85"/>
    <n v="59.4"/>
    <s v="Excelsa"/>
    <x v="1"/>
    <x v="0"/>
  </r>
  <r>
    <s v="CUN-90044-279"/>
    <x v="434"/>
    <s v="86646-65810-TD"/>
    <s v="L-D-0.2"/>
    <n v="4"/>
    <x v="515"/>
    <s v=""/>
    <x v="0"/>
    <x v="3"/>
    <s v="D"/>
    <x v="3"/>
    <n v="3.8849999999999998"/>
    <n v="15.54"/>
    <s v="Liberica"/>
    <x v="2"/>
    <x v="0"/>
  </r>
  <r>
    <s v="ICC-73030-502"/>
    <x v="435"/>
    <s v="59480-02795-IU"/>
    <s v="A-L-1"/>
    <n v="3"/>
    <x v="516"/>
    <s v="raynoldfj@ustream.tv"/>
    <x v="0"/>
    <x v="2"/>
    <s v="L"/>
    <x v="0"/>
    <n v="12.95"/>
    <n v="38.849999999999994"/>
    <s v="Arabica"/>
    <x v="1"/>
    <x v="0"/>
  </r>
  <r>
    <s v="ADP-04506-084"/>
    <x v="436"/>
    <s v="61809-87758-LJ"/>
    <s v="E-M-2.5"/>
    <n v="6"/>
    <x v="517"/>
    <s v=""/>
    <x v="0"/>
    <x v="1"/>
    <s v="M"/>
    <x v="2"/>
    <n v="31.624999999999996"/>
    <n v="189.74999999999997"/>
    <s v="Excelsa"/>
    <x v="0"/>
    <x v="0"/>
  </r>
  <r>
    <s v="PNU-22150-408"/>
    <x v="437"/>
    <s v="77408-43873-RS"/>
    <s v="A-D-0.2"/>
    <n v="6"/>
    <x v="518"/>
    <s v=""/>
    <x v="1"/>
    <x v="2"/>
    <s v="D"/>
    <x v="3"/>
    <n v="2.9849999999999999"/>
    <n v="17.91"/>
    <s v="Arabica"/>
    <x v="2"/>
    <x v="0"/>
  </r>
  <r>
    <s v="VSQ-07182-513"/>
    <x v="438"/>
    <s v="18366-65239-WF"/>
    <s v="L-L-0.2"/>
    <n v="6"/>
    <x v="519"/>
    <s v="bgrecefm@naver.com"/>
    <x v="2"/>
    <x v="3"/>
    <s v="L"/>
    <x v="3"/>
    <n v="4.7549999999999999"/>
    <n v="28.53"/>
    <s v="Liberica"/>
    <x v="1"/>
    <x v="1"/>
  </r>
  <r>
    <s v="SPF-31673-217"/>
    <x v="439"/>
    <s v="19485-98072-PS"/>
    <s v="E-M-1"/>
    <n v="6"/>
    <x v="520"/>
    <s v="dflintiffg1@e-recht24.de"/>
    <x v="2"/>
    <x v="1"/>
    <s v="M"/>
    <x v="0"/>
    <n v="13.75"/>
    <n v="82.5"/>
    <s v="Excelsa"/>
    <x v="0"/>
    <x v="1"/>
  </r>
  <r>
    <s v="NEX-63825-598"/>
    <x v="175"/>
    <s v="72072-33025-SD"/>
    <s v="R-L-0.5"/>
    <n v="2"/>
    <x v="521"/>
    <s v="athysfo@cdc.gov"/>
    <x v="0"/>
    <x v="0"/>
    <s v="L"/>
    <x v="1"/>
    <n v="7.169999999999999"/>
    <n v="14.339999999999998"/>
    <s v="Robusta"/>
    <x v="1"/>
    <x v="1"/>
  </r>
  <r>
    <s v="XPG-66112-335"/>
    <x v="440"/>
    <s v="58118-22461-GC"/>
    <s v="R-D-2.5"/>
    <n v="4"/>
    <x v="522"/>
    <s v="jchuggfp@about.me"/>
    <x v="0"/>
    <x v="0"/>
    <s v="D"/>
    <x v="2"/>
    <n v="20.584999999999997"/>
    <n v="82.339999999999989"/>
    <s v="Robusta"/>
    <x v="2"/>
    <x v="1"/>
  </r>
  <r>
    <s v="NSQ-72210-345"/>
    <x v="441"/>
    <s v="90940-63327-DJ"/>
    <s v="A-M-0.2"/>
    <n v="6"/>
    <x v="523"/>
    <s v="akelstonfq@sakura.ne.jp"/>
    <x v="0"/>
    <x v="2"/>
    <s v="M"/>
    <x v="3"/>
    <n v="3.375"/>
    <n v="20.25"/>
    <s v="Arabica"/>
    <x v="0"/>
    <x v="0"/>
  </r>
  <r>
    <s v="XRR-28376-277"/>
    <x v="442"/>
    <s v="64481-42546-II"/>
    <s v="R-L-2.5"/>
    <n v="6"/>
    <x v="524"/>
    <s v=""/>
    <x v="1"/>
    <x v="0"/>
    <s v="L"/>
    <x v="2"/>
    <n v="27.484999999999996"/>
    <n v="164.90999999999997"/>
    <s v="Robusta"/>
    <x v="1"/>
    <x v="1"/>
  </r>
  <r>
    <s v="WHQ-25197-475"/>
    <x v="443"/>
    <s v="27536-28463-NJ"/>
    <s v="L-L-0.2"/>
    <n v="4"/>
    <x v="525"/>
    <s v="cmottramfs@harvard.edu"/>
    <x v="0"/>
    <x v="3"/>
    <s v="L"/>
    <x v="3"/>
    <n v="4.7549999999999999"/>
    <n v="19.02"/>
    <s v="Liberica"/>
    <x v="1"/>
    <x v="0"/>
  </r>
  <r>
    <s v="HMB-30634-745"/>
    <x v="216"/>
    <s v="19485-98072-PS"/>
    <s v="A-D-2.5"/>
    <n v="6"/>
    <x v="520"/>
    <s v="dflintiffg1@e-recht24.de"/>
    <x v="2"/>
    <x v="2"/>
    <s v="D"/>
    <x v="2"/>
    <n v="22.884999999999998"/>
    <n v="137.31"/>
    <s v="Arabica"/>
    <x v="2"/>
    <x v="1"/>
  </r>
  <r>
    <s v="XTL-68000-371"/>
    <x v="444"/>
    <s v="70140-82812-KD"/>
    <s v="A-M-0.5"/>
    <n v="4"/>
    <x v="526"/>
    <s v="dsangwinfu@weebly.com"/>
    <x v="0"/>
    <x v="2"/>
    <s v="M"/>
    <x v="1"/>
    <n v="6.75"/>
    <n v="27"/>
    <s v="Arabica"/>
    <x v="0"/>
    <x v="1"/>
  </r>
  <r>
    <s v="YES-51109-625"/>
    <x v="37"/>
    <s v="91895-55605-LS"/>
    <s v="E-L-0.5"/>
    <n v="4"/>
    <x v="527"/>
    <s v="eaizikowitzfv@virginia.edu"/>
    <x v="2"/>
    <x v="1"/>
    <s v="L"/>
    <x v="1"/>
    <n v="8.91"/>
    <n v="35.64"/>
    <s v="Excelsa"/>
    <x v="1"/>
    <x v="1"/>
  </r>
  <r>
    <s v="EAY-89850-211"/>
    <x v="445"/>
    <s v="43155-71724-XP"/>
    <s v="A-D-0.2"/>
    <n v="2"/>
    <x v="528"/>
    <s v=""/>
    <x v="0"/>
    <x v="2"/>
    <s v="D"/>
    <x v="3"/>
    <n v="2.9849999999999999"/>
    <n v="5.97"/>
    <s v="Arabica"/>
    <x v="2"/>
    <x v="0"/>
  </r>
  <r>
    <s v="IOQ-84840-827"/>
    <x v="446"/>
    <s v="32038-81174-JF"/>
    <s v="A-M-1"/>
    <n v="6"/>
    <x v="529"/>
    <s v="cvenourfx@ask.com"/>
    <x v="0"/>
    <x v="2"/>
    <s v="M"/>
    <x v="0"/>
    <n v="11.25"/>
    <n v="67.5"/>
    <s v="Arabica"/>
    <x v="0"/>
    <x v="1"/>
  </r>
  <r>
    <s v="FBD-56220-430"/>
    <x v="245"/>
    <s v="59205-20324-NB"/>
    <s v="R-L-0.2"/>
    <n v="6"/>
    <x v="530"/>
    <s v="mharbyfy@163.com"/>
    <x v="0"/>
    <x v="0"/>
    <s v="L"/>
    <x v="3"/>
    <n v="3.5849999999999995"/>
    <n v="21.509999999999998"/>
    <s v="Robusta"/>
    <x v="1"/>
    <x v="0"/>
  </r>
  <r>
    <s v="COV-52659-202"/>
    <x v="447"/>
    <s v="99899-54612-NX"/>
    <s v="L-M-2.5"/>
    <n v="2"/>
    <x v="531"/>
    <s v="rthickpennyfz@cafepress.com"/>
    <x v="0"/>
    <x v="3"/>
    <s v="M"/>
    <x v="2"/>
    <n v="33.464999999999996"/>
    <n v="66.929999999999993"/>
    <s v="Liberica"/>
    <x v="0"/>
    <x v="1"/>
  </r>
  <r>
    <s v="YUO-76652-814"/>
    <x v="448"/>
    <s v="26248-84194-FI"/>
    <s v="A-D-0.2"/>
    <n v="6"/>
    <x v="532"/>
    <s v="pormerodg0@redcross.org"/>
    <x v="0"/>
    <x v="2"/>
    <s v="D"/>
    <x v="3"/>
    <n v="2.9849999999999999"/>
    <n v="17.91"/>
    <s v="Arabica"/>
    <x v="2"/>
    <x v="1"/>
  </r>
  <r>
    <s v="PBT-36926-102"/>
    <x v="344"/>
    <s v="19485-98072-PS"/>
    <s v="L-M-1"/>
    <n v="4"/>
    <x v="520"/>
    <s v="dflintiffg1@e-recht24.de"/>
    <x v="2"/>
    <x v="3"/>
    <s v="M"/>
    <x v="0"/>
    <n v="14.55"/>
    <n v="58.2"/>
    <s v="Liberica"/>
    <x v="0"/>
    <x v="1"/>
  </r>
  <r>
    <s v="BLV-60087-454"/>
    <x v="152"/>
    <s v="84493-71314-WX"/>
    <s v="E-L-0.2"/>
    <n v="3"/>
    <x v="533"/>
    <s v="tzanettig2@gravatar.com"/>
    <x v="1"/>
    <x v="1"/>
    <s v="L"/>
    <x v="3"/>
    <n v="4.4550000000000001"/>
    <n v="13.365"/>
    <s v="Excelsa"/>
    <x v="1"/>
    <x v="1"/>
  </r>
  <r>
    <s v="BLV-60087-454"/>
    <x v="152"/>
    <s v="84493-71314-WX"/>
    <s v="A-M-0.5"/>
    <n v="5"/>
    <x v="533"/>
    <s v="tzanettig2@gravatar.com"/>
    <x v="1"/>
    <x v="2"/>
    <s v="M"/>
    <x v="1"/>
    <n v="6.75"/>
    <n v="33.75"/>
    <s v="Arabica"/>
    <x v="0"/>
    <x v="1"/>
  </r>
  <r>
    <s v="QYC-63914-195"/>
    <x v="449"/>
    <s v="39789-43945-IV"/>
    <s v="E-L-1"/>
    <n v="3"/>
    <x v="534"/>
    <s v="rkirtleyg4@hatena.ne.jp"/>
    <x v="0"/>
    <x v="1"/>
    <s v="L"/>
    <x v="0"/>
    <n v="14.85"/>
    <n v="44.55"/>
    <s v="Excelsa"/>
    <x v="1"/>
    <x v="0"/>
  </r>
  <r>
    <s v="OIB-77163-890"/>
    <x v="450"/>
    <s v="38972-89678-ZM"/>
    <s v="E-L-0.5"/>
    <n v="5"/>
    <x v="535"/>
    <s v="cclemencetg5@weather.com"/>
    <x v="2"/>
    <x v="1"/>
    <s v="L"/>
    <x v="1"/>
    <n v="8.91"/>
    <n v="44.55"/>
    <s v="Excelsa"/>
    <x v="1"/>
    <x v="0"/>
  </r>
  <r>
    <s v="SGS-87525-238"/>
    <x v="451"/>
    <s v="91465-84526-IJ"/>
    <s v="E-D-1"/>
    <n v="5"/>
    <x v="536"/>
    <s v="rdonetg6@oakley.com"/>
    <x v="0"/>
    <x v="1"/>
    <s v="D"/>
    <x v="0"/>
    <n v="12.15"/>
    <n v="60.75"/>
    <s v="Excelsa"/>
    <x v="2"/>
    <x v="1"/>
  </r>
  <r>
    <s v="GQR-12490-152"/>
    <x v="83"/>
    <s v="22832-98538-RB"/>
    <s v="R-L-0.2"/>
    <n v="1"/>
    <x v="537"/>
    <s v="sgaweng7@creativecommons.org"/>
    <x v="0"/>
    <x v="0"/>
    <s v="L"/>
    <x v="3"/>
    <n v="3.5849999999999995"/>
    <n v="3.5849999999999995"/>
    <s v="Robusta"/>
    <x v="1"/>
    <x v="0"/>
  </r>
  <r>
    <s v="UOJ-28238-299"/>
    <x v="452"/>
    <s v="30844-91890-ZA"/>
    <s v="R-L-0.2"/>
    <n v="6"/>
    <x v="538"/>
    <s v="rreadieg8@guardian.co.uk"/>
    <x v="0"/>
    <x v="0"/>
    <s v="L"/>
    <x v="3"/>
    <n v="3.5849999999999995"/>
    <n v="21.509999999999998"/>
    <s v="Robusta"/>
    <x v="1"/>
    <x v="1"/>
  </r>
  <r>
    <s v="ETD-58130-674"/>
    <x v="453"/>
    <s v="05325-97750-WP"/>
    <s v="E-M-0.5"/>
    <n v="2"/>
    <x v="539"/>
    <s v="cverissimogh@theglobeandmail.com"/>
    <x v="2"/>
    <x v="1"/>
    <s v="M"/>
    <x v="1"/>
    <n v="8.25"/>
    <n v="16.5"/>
    <s v="Excelsa"/>
    <x v="0"/>
    <x v="0"/>
  </r>
  <r>
    <s v="UPF-60123-025"/>
    <x v="454"/>
    <s v="88992-49081-AT"/>
    <s v="R-L-2.5"/>
    <n v="3"/>
    <x v="540"/>
    <s v=""/>
    <x v="0"/>
    <x v="0"/>
    <s v="L"/>
    <x v="2"/>
    <n v="27.484999999999996"/>
    <n v="82.454999999999984"/>
    <s v="Robusta"/>
    <x v="1"/>
    <x v="1"/>
  </r>
  <r>
    <s v="NQS-01613-687"/>
    <x v="455"/>
    <s v="10204-31464-SA"/>
    <s v="L-D-0.5"/>
    <n v="1"/>
    <x v="541"/>
    <s v="bogb@elpais.com"/>
    <x v="0"/>
    <x v="3"/>
    <s v="D"/>
    <x v="1"/>
    <n v="7.77"/>
    <n v="7.77"/>
    <s v="Liberica"/>
    <x v="2"/>
    <x v="0"/>
  </r>
  <r>
    <s v="MGH-36050-573"/>
    <x v="456"/>
    <s v="75156-80911-YT"/>
    <s v="R-M-0.5"/>
    <n v="2"/>
    <x v="542"/>
    <s v="vstansburygc@unblog.fr"/>
    <x v="0"/>
    <x v="0"/>
    <s v="M"/>
    <x v="1"/>
    <n v="5.97"/>
    <n v="11.94"/>
    <s v="Robusta"/>
    <x v="0"/>
    <x v="0"/>
  </r>
  <r>
    <s v="UVF-59322-459"/>
    <x v="373"/>
    <s v="53971-49906-PZ"/>
    <s v="E-L-2.5"/>
    <n v="6"/>
    <x v="543"/>
    <s v="dheinonengd@printfriendly.com"/>
    <x v="0"/>
    <x v="1"/>
    <s v="L"/>
    <x v="2"/>
    <n v="34.154999999999994"/>
    <n v="204.92999999999995"/>
    <s v="Excelsa"/>
    <x v="1"/>
    <x v="1"/>
  </r>
  <r>
    <s v="VET-41158-896"/>
    <x v="457"/>
    <s v="10728-17633-ST"/>
    <s v="E-M-2.5"/>
    <n v="2"/>
    <x v="544"/>
    <s v="jshentonge@google.com.hk"/>
    <x v="0"/>
    <x v="1"/>
    <s v="M"/>
    <x v="2"/>
    <n v="31.624999999999996"/>
    <n v="63.249999999999993"/>
    <s v="Excelsa"/>
    <x v="0"/>
    <x v="0"/>
  </r>
  <r>
    <s v="XYL-52196-459"/>
    <x v="458"/>
    <s v="13549-65017-VE"/>
    <s v="R-D-0.2"/>
    <n v="3"/>
    <x v="545"/>
    <s v="jwilkissongf@nba.com"/>
    <x v="0"/>
    <x v="0"/>
    <s v="D"/>
    <x v="3"/>
    <n v="2.6849999999999996"/>
    <n v="8.0549999999999997"/>
    <s v="Robusta"/>
    <x v="2"/>
    <x v="0"/>
  </r>
  <r>
    <s v="BPZ-51283-916"/>
    <x v="264"/>
    <s v="87688-42420-TO"/>
    <s v="A-M-2.5"/>
    <n v="2"/>
    <x v="546"/>
    <s v=""/>
    <x v="0"/>
    <x v="2"/>
    <s v="M"/>
    <x v="2"/>
    <n v="25.874999999999996"/>
    <n v="51.749999999999993"/>
    <s v="Arabica"/>
    <x v="0"/>
    <x v="1"/>
  </r>
  <r>
    <s v="VQW-91903-926"/>
    <x v="459"/>
    <s v="05325-97750-WP"/>
    <s v="E-D-2.5"/>
    <n v="1"/>
    <x v="539"/>
    <s v="cverissimogh@theglobeandmail.com"/>
    <x v="2"/>
    <x v="1"/>
    <s v="D"/>
    <x v="2"/>
    <n v="27.945"/>
    <n v="27.945"/>
    <s v="Excelsa"/>
    <x v="2"/>
    <x v="0"/>
  </r>
  <r>
    <s v="OLF-77983-457"/>
    <x v="460"/>
    <s v="51901-35210-UI"/>
    <s v="A-L-2.5"/>
    <n v="2"/>
    <x v="547"/>
    <s v="gstarcksgi@abc.net.au"/>
    <x v="0"/>
    <x v="2"/>
    <s v="L"/>
    <x v="2"/>
    <n v="29.784999999999997"/>
    <n v="59.569999999999993"/>
    <s v="Arabica"/>
    <x v="1"/>
    <x v="1"/>
  </r>
  <r>
    <s v="MVI-04946-827"/>
    <x v="461"/>
    <s v="62483-50867-OM"/>
    <s v="E-L-1"/>
    <n v="1"/>
    <x v="548"/>
    <s v=""/>
    <x v="2"/>
    <x v="1"/>
    <s v="L"/>
    <x v="0"/>
    <n v="14.85"/>
    <n v="14.85"/>
    <s v="Excelsa"/>
    <x v="1"/>
    <x v="1"/>
  </r>
  <r>
    <s v="UOG-94188-104"/>
    <x v="219"/>
    <s v="92753-50029-SD"/>
    <s v="A-M-0.5"/>
    <n v="5"/>
    <x v="549"/>
    <s v="kscholardgk@sbwire.com"/>
    <x v="0"/>
    <x v="2"/>
    <s v="M"/>
    <x v="1"/>
    <n v="6.75"/>
    <n v="33.75"/>
    <s v="Arabica"/>
    <x v="0"/>
    <x v="1"/>
  </r>
  <r>
    <s v="DSN-15872-519"/>
    <x v="462"/>
    <s v="53809-98498-SN"/>
    <s v="L-L-2.5"/>
    <n v="4"/>
    <x v="550"/>
    <s v="bkindleygl@wikimedia.org"/>
    <x v="0"/>
    <x v="3"/>
    <s v="L"/>
    <x v="2"/>
    <n v="36.454999999999998"/>
    <n v="145.82"/>
    <s v="Liberica"/>
    <x v="1"/>
    <x v="0"/>
  </r>
  <r>
    <s v="OUQ-73954-002"/>
    <x v="463"/>
    <s v="66308-13503-KD"/>
    <s v="R-M-0.2"/>
    <n v="4"/>
    <x v="551"/>
    <s v="khammettgm@dmoz.org"/>
    <x v="0"/>
    <x v="0"/>
    <s v="M"/>
    <x v="3"/>
    <n v="2.9849999999999999"/>
    <n v="11.94"/>
    <s v="Robusta"/>
    <x v="0"/>
    <x v="0"/>
  </r>
  <r>
    <s v="LGL-16843-667"/>
    <x v="464"/>
    <s v="82458-87830-JE"/>
    <s v="A-D-0.2"/>
    <n v="4"/>
    <x v="552"/>
    <s v="ahulburtgn@fda.gov"/>
    <x v="0"/>
    <x v="2"/>
    <s v="D"/>
    <x v="3"/>
    <n v="2.9849999999999999"/>
    <n v="11.94"/>
    <s v="Arabica"/>
    <x v="2"/>
    <x v="0"/>
  </r>
  <r>
    <s v="TCC-89722-031"/>
    <x v="465"/>
    <s v="41611-34336-WT"/>
    <s v="L-D-0.5"/>
    <n v="1"/>
    <x v="553"/>
    <s v="plauritzengo@photobucket.com"/>
    <x v="0"/>
    <x v="3"/>
    <s v="D"/>
    <x v="1"/>
    <n v="7.77"/>
    <n v="7.77"/>
    <s v="Liberica"/>
    <x v="2"/>
    <x v="1"/>
  </r>
  <r>
    <s v="TRA-79507-007"/>
    <x v="466"/>
    <s v="70089-27418-UJ"/>
    <s v="R-L-2.5"/>
    <n v="4"/>
    <x v="554"/>
    <s v="aburgwingp@redcross.org"/>
    <x v="0"/>
    <x v="0"/>
    <s v="L"/>
    <x v="2"/>
    <n v="27.484999999999996"/>
    <n v="109.93999999999998"/>
    <s v="Robusta"/>
    <x v="1"/>
    <x v="0"/>
  </r>
  <r>
    <s v="MZJ-77284-941"/>
    <x v="467"/>
    <s v="99978-56910-BN"/>
    <s v="E-L-0.2"/>
    <n v="5"/>
    <x v="555"/>
    <s v="erolingq@google.fr"/>
    <x v="0"/>
    <x v="1"/>
    <s v="L"/>
    <x v="3"/>
    <n v="4.4550000000000001"/>
    <n v="22.274999999999999"/>
    <s v="Excelsa"/>
    <x v="1"/>
    <x v="0"/>
  </r>
  <r>
    <s v="AXN-57779-891"/>
    <x v="468"/>
    <s v="09668-23340-IC"/>
    <s v="R-M-0.2"/>
    <n v="3"/>
    <x v="556"/>
    <s v="dfowlegr@epa.gov"/>
    <x v="0"/>
    <x v="0"/>
    <s v="M"/>
    <x v="3"/>
    <n v="2.9849999999999999"/>
    <n v="8.9550000000000001"/>
    <s v="Robusta"/>
    <x v="0"/>
    <x v="1"/>
  </r>
  <r>
    <s v="PJB-15659-994"/>
    <x v="469"/>
    <s v="39457-62611-YK"/>
    <s v="L-D-2.5"/>
    <n v="4"/>
    <x v="557"/>
    <s v=""/>
    <x v="1"/>
    <x v="3"/>
    <s v="D"/>
    <x v="2"/>
    <n v="29.784999999999997"/>
    <n v="119.13999999999999"/>
    <s v="Liberica"/>
    <x v="2"/>
    <x v="1"/>
  </r>
  <r>
    <s v="LTS-03470-353"/>
    <x v="470"/>
    <s v="90985-89807-RW"/>
    <s v="A-L-2.5"/>
    <n v="5"/>
    <x v="558"/>
    <s v="wpowleslandgt@soundcloud.com"/>
    <x v="0"/>
    <x v="2"/>
    <s v="L"/>
    <x v="2"/>
    <n v="29.784999999999997"/>
    <n v="148.92499999999998"/>
    <s v="Arabica"/>
    <x v="1"/>
    <x v="0"/>
  </r>
  <r>
    <s v="UMM-28497-689"/>
    <x v="471"/>
    <s v="05325-97750-WP"/>
    <s v="L-L-2.5"/>
    <n v="3"/>
    <x v="539"/>
    <s v="cverissimogh@theglobeandmail.com"/>
    <x v="2"/>
    <x v="3"/>
    <s v="L"/>
    <x v="2"/>
    <n v="36.454999999999998"/>
    <n v="109.36499999999999"/>
    <s v="Liberica"/>
    <x v="1"/>
    <x v="0"/>
  </r>
  <r>
    <s v="MJZ-93232-402"/>
    <x v="472"/>
    <s v="17816-67941-ZS"/>
    <s v="E-D-0.2"/>
    <n v="1"/>
    <x v="559"/>
    <s v="lellinghamgv@sciencedaily.com"/>
    <x v="0"/>
    <x v="1"/>
    <s v="D"/>
    <x v="3"/>
    <n v="3.645"/>
    <n v="3.645"/>
    <s v="Excelsa"/>
    <x v="2"/>
    <x v="0"/>
  </r>
  <r>
    <s v="UHW-74617-126"/>
    <x v="173"/>
    <s v="90816-65619-LM"/>
    <s v="E-D-2.5"/>
    <n v="2"/>
    <x v="560"/>
    <s v=""/>
    <x v="0"/>
    <x v="1"/>
    <s v="D"/>
    <x v="2"/>
    <n v="27.945"/>
    <n v="55.89"/>
    <s v="Excelsa"/>
    <x v="2"/>
    <x v="1"/>
  </r>
  <r>
    <s v="RIK-61730-794"/>
    <x v="473"/>
    <s v="69761-61146-KD"/>
    <s v="L-M-0.2"/>
    <n v="6"/>
    <x v="561"/>
    <s v="afendtgx@forbes.com"/>
    <x v="0"/>
    <x v="3"/>
    <s v="M"/>
    <x v="3"/>
    <n v="4.3650000000000002"/>
    <n v="26.19"/>
    <s v="Liberica"/>
    <x v="0"/>
    <x v="0"/>
  </r>
  <r>
    <s v="IDJ-55379-750"/>
    <x v="474"/>
    <s v="24040-20817-QB"/>
    <s v="R-M-1"/>
    <n v="4"/>
    <x v="562"/>
    <s v="acleyburngy@lycos.com"/>
    <x v="0"/>
    <x v="0"/>
    <s v="M"/>
    <x v="0"/>
    <n v="9.9499999999999993"/>
    <n v="39.799999999999997"/>
    <s v="Robusta"/>
    <x v="0"/>
    <x v="1"/>
  </r>
  <r>
    <s v="OHX-11953-965"/>
    <x v="475"/>
    <s v="19524-21432-XP"/>
    <s v="E-L-2.5"/>
    <n v="2"/>
    <x v="563"/>
    <s v="tcastiglionegz@xing.com"/>
    <x v="0"/>
    <x v="1"/>
    <s v="L"/>
    <x v="2"/>
    <n v="34.154999999999994"/>
    <n v="68.309999999999988"/>
    <s v="Excelsa"/>
    <x v="1"/>
    <x v="1"/>
  </r>
  <r>
    <s v="TVV-42245-088"/>
    <x v="476"/>
    <s v="14398-43114-RV"/>
    <s v="A-M-0.2"/>
    <n v="4"/>
    <x v="564"/>
    <s v=""/>
    <x v="1"/>
    <x v="2"/>
    <s v="M"/>
    <x v="3"/>
    <n v="3.375"/>
    <n v="13.5"/>
    <s v="Arabica"/>
    <x v="0"/>
    <x v="1"/>
  </r>
  <r>
    <s v="DYP-74337-787"/>
    <x v="431"/>
    <s v="41486-52502-QQ"/>
    <s v="R-M-0.5"/>
    <n v="1"/>
    <x v="565"/>
    <s v=""/>
    <x v="0"/>
    <x v="0"/>
    <s v="M"/>
    <x v="1"/>
    <n v="5.97"/>
    <n v="5.97"/>
    <s v="Robusta"/>
    <x v="0"/>
    <x v="1"/>
  </r>
  <r>
    <s v="OKA-93124-100"/>
    <x v="477"/>
    <s v="05325-97750-WP"/>
    <s v="R-M-0.5"/>
    <n v="5"/>
    <x v="539"/>
    <s v="cverissimogh@theglobeandmail.com"/>
    <x v="2"/>
    <x v="0"/>
    <s v="M"/>
    <x v="1"/>
    <n v="5.97"/>
    <n v="29.849999999999998"/>
    <s v="Robusta"/>
    <x v="0"/>
    <x v="0"/>
  </r>
  <r>
    <s v="IXW-20780-268"/>
    <x v="478"/>
    <s v="20236-64364-QL"/>
    <s v="L-L-2.5"/>
    <n v="2"/>
    <x v="566"/>
    <s v="scouronneh3@mozilla.org"/>
    <x v="0"/>
    <x v="3"/>
    <s v="L"/>
    <x v="2"/>
    <n v="36.454999999999998"/>
    <n v="72.91"/>
    <s v="Liberica"/>
    <x v="1"/>
    <x v="0"/>
  </r>
  <r>
    <s v="NGG-24006-937"/>
    <x v="45"/>
    <s v="29102-40100-TZ"/>
    <s v="E-M-2.5"/>
    <n v="4"/>
    <x v="567"/>
    <s v="lflippellih4@github.io"/>
    <x v="2"/>
    <x v="1"/>
    <s v="M"/>
    <x v="2"/>
    <n v="31.624999999999996"/>
    <n v="126.49999999999999"/>
    <s v="Excelsa"/>
    <x v="0"/>
    <x v="1"/>
  </r>
  <r>
    <s v="JZC-31180-557"/>
    <x v="444"/>
    <s v="09171-42203-EB"/>
    <s v="L-M-2.5"/>
    <n v="1"/>
    <x v="568"/>
    <s v="relizabethh5@live.com"/>
    <x v="0"/>
    <x v="3"/>
    <s v="M"/>
    <x v="2"/>
    <n v="33.464999999999996"/>
    <n v="33.464999999999996"/>
    <s v="Liberica"/>
    <x v="0"/>
    <x v="1"/>
  </r>
  <r>
    <s v="ZMU-63715-204"/>
    <x v="479"/>
    <s v="29060-75856-UI"/>
    <s v="E-D-1"/>
    <n v="6"/>
    <x v="569"/>
    <s v="irenhardh6@i2i.jp"/>
    <x v="0"/>
    <x v="1"/>
    <s v="D"/>
    <x v="0"/>
    <n v="12.15"/>
    <n v="72.900000000000006"/>
    <s v="Excelsa"/>
    <x v="2"/>
    <x v="0"/>
  </r>
  <r>
    <s v="GND-08192-056"/>
    <x v="480"/>
    <s v="17088-16989-PL"/>
    <s v="L-D-0.5"/>
    <n v="2"/>
    <x v="570"/>
    <s v="wrocheh7@xinhuanet.com"/>
    <x v="0"/>
    <x v="3"/>
    <s v="D"/>
    <x v="1"/>
    <n v="7.77"/>
    <n v="15.54"/>
    <s v="Liberica"/>
    <x v="2"/>
    <x v="0"/>
  </r>
  <r>
    <s v="RYY-38961-093"/>
    <x v="481"/>
    <s v="14756-18321-CL"/>
    <s v="A-M-0.2"/>
    <n v="6"/>
    <x v="571"/>
    <s v="lalawayhh@weather.com"/>
    <x v="0"/>
    <x v="2"/>
    <s v="M"/>
    <x v="3"/>
    <n v="3.375"/>
    <n v="20.25"/>
    <s v="Arabica"/>
    <x v="0"/>
    <x v="1"/>
  </r>
  <r>
    <s v="CVA-64996-969"/>
    <x v="478"/>
    <s v="13324-78688-MI"/>
    <s v="A-L-1"/>
    <n v="6"/>
    <x v="572"/>
    <s v="codgaardh9@nsw.gov.au"/>
    <x v="0"/>
    <x v="2"/>
    <s v="L"/>
    <x v="0"/>
    <n v="12.95"/>
    <n v="77.699999999999989"/>
    <s v="Arabica"/>
    <x v="1"/>
    <x v="1"/>
  </r>
  <r>
    <s v="XTH-67276-442"/>
    <x v="482"/>
    <s v="73799-04749-BM"/>
    <s v="L-M-2.5"/>
    <n v="4"/>
    <x v="573"/>
    <s v="bbyrdha@4shared.com"/>
    <x v="0"/>
    <x v="3"/>
    <s v="M"/>
    <x v="2"/>
    <n v="33.464999999999996"/>
    <n v="133.85999999999999"/>
    <s v="Liberica"/>
    <x v="0"/>
    <x v="1"/>
  </r>
  <r>
    <s v="PVU-02950-470"/>
    <x v="353"/>
    <s v="01927-46702-YT"/>
    <s v="E-D-1"/>
    <n v="1"/>
    <x v="574"/>
    <s v=""/>
    <x v="2"/>
    <x v="1"/>
    <s v="D"/>
    <x v="0"/>
    <n v="12.15"/>
    <n v="12.15"/>
    <s v="Excelsa"/>
    <x v="2"/>
    <x v="1"/>
  </r>
  <r>
    <s v="XSN-26809-910"/>
    <x v="199"/>
    <s v="80467-17137-TO"/>
    <s v="E-M-2.5"/>
    <n v="2"/>
    <x v="575"/>
    <s v="dchardinhc@nhs.uk"/>
    <x v="1"/>
    <x v="1"/>
    <s v="M"/>
    <x v="2"/>
    <n v="31.624999999999996"/>
    <n v="63.249999999999993"/>
    <s v="Excelsa"/>
    <x v="0"/>
    <x v="0"/>
  </r>
  <r>
    <s v="UDN-88321-005"/>
    <x v="372"/>
    <s v="14640-87215-BK"/>
    <s v="R-L-0.5"/>
    <n v="5"/>
    <x v="576"/>
    <s v="hradbonehd@newsvine.com"/>
    <x v="0"/>
    <x v="0"/>
    <s v="L"/>
    <x v="1"/>
    <n v="7.169999999999999"/>
    <n v="35.849999999999994"/>
    <s v="Robusta"/>
    <x v="1"/>
    <x v="1"/>
  </r>
  <r>
    <s v="EXP-21628-670"/>
    <x v="267"/>
    <s v="94447-35885-HK"/>
    <s v="A-M-2.5"/>
    <n v="3"/>
    <x v="577"/>
    <s v="wbernthhe@miitbeian.gov.cn"/>
    <x v="0"/>
    <x v="2"/>
    <s v="M"/>
    <x v="2"/>
    <n v="25.874999999999996"/>
    <n v="77.624999999999986"/>
    <s v="Arabica"/>
    <x v="0"/>
    <x v="1"/>
  </r>
  <r>
    <s v="VGM-24161-361"/>
    <x v="480"/>
    <s v="71034-49694-CS"/>
    <s v="E-M-2.5"/>
    <n v="2"/>
    <x v="578"/>
    <s v="bacarsonhf@cnn.com"/>
    <x v="0"/>
    <x v="1"/>
    <s v="M"/>
    <x v="2"/>
    <n v="31.624999999999996"/>
    <n v="63.249999999999993"/>
    <s v="Excelsa"/>
    <x v="0"/>
    <x v="0"/>
  </r>
  <r>
    <s v="PKN-19556-918"/>
    <x v="483"/>
    <s v="00445-42781-KX"/>
    <s v="E-L-0.2"/>
    <n v="6"/>
    <x v="579"/>
    <s v="fbrighamhg@blog.com"/>
    <x v="1"/>
    <x v="1"/>
    <s v="L"/>
    <x v="3"/>
    <n v="4.4550000000000001"/>
    <n v="26.73"/>
    <s v="Excelsa"/>
    <x v="1"/>
    <x v="0"/>
  </r>
  <r>
    <s v="PKN-19556-918"/>
    <x v="483"/>
    <s v="00445-42781-KX"/>
    <s v="L-D-0.5"/>
    <n v="4"/>
    <x v="579"/>
    <s v="fbrighamhg@blog.com"/>
    <x v="1"/>
    <x v="3"/>
    <s v="D"/>
    <x v="1"/>
    <n v="7.77"/>
    <n v="31.08"/>
    <s v="Liberica"/>
    <x v="2"/>
    <x v="0"/>
  </r>
  <r>
    <s v="PKN-19556-918"/>
    <x v="483"/>
    <s v="00445-42781-KX"/>
    <s v="A-D-0.2"/>
    <n v="1"/>
    <x v="579"/>
    <s v="fbrighamhg@blog.com"/>
    <x v="1"/>
    <x v="2"/>
    <s v="D"/>
    <x v="3"/>
    <n v="2.9849999999999999"/>
    <n v="2.9849999999999999"/>
    <s v="Arabica"/>
    <x v="2"/>
    <x v="0"/>
  </r>
  <r>
    <s v="PKN-19556-918"/>
    <x v="483"/>
    <s v="00445-42781-KX"/>
    <s v="R-D-2.5"/>
    <n v="5"/>
    <x v="579"/>
    <s v="fbrighamhg@blog.com"/>
    <x v="1"/>
    <x v="0"/>
    <s v="D"/>
    <x v="2"/>
    <n v="20.584999999999997"/>
    <n v="102.92499999999998"/>
    <s v="Robusta"/>
    <x v="2"/>
    <x v="0"/>
  </r>
  <r>
    <s v="DXQ-44537-297"/>
    <x v="484"/>
    <s v="96116-24737-LV"/>
    <s v="E-L-0.5"/>
    <n v="4"/>
    <x v="580"/>
    <s v="myoxenhk@google.com"/>
    <x v="0"/>
    <x v="1"/>
    <s v="L"/>
    <x v="1"/>
    <n v="8.91"/>
    <n v="35.64"/>
    <s v="Excelsa"/>
    <x v="1"/>
    <x v="1"/>
  </r>
  <r>
    <s v="BPC-54727-307"/>
    <x v="485"/>
    <s v="18684-73088-YL"/>
    <s v="R-L-1"/>
    <n v="4"/>
    <x v="581"/>
    <s v="gmcgavinhl@histats.com"/>
    <x v="0"/>
    <x v="0"/>
    <s v="L"/>
    <x v="0"/>
    <n v="11.95"/>
    <n v="47.8"/>
    <s v="Robusta"/>
    <x v="1"/>
    <x v="1"/>
  </r>
  <r>
    <s v="KSH-47717-456"/>
    <x v="486"/>
    <s v="74671-55639-TU"/>
    <s v="L-M-1"/>
    <n v="3"/>
    <x v="582"/>
    <s v="luttermarehm@engadget.com"/>
    <x v="0"/>
    <x v="3"/>
    <s v="M"/>
    <x v="0"/>
    <n v="14.55"/>
    <n v="43.650000000000006"/>
    <s v="Liberica"/>
    <x v="0"/>
    <x v="1"/>
  </r>
  <r>
    <s v="ANK-59436-446"/>
    <x v="487"/>
    <s v="17488-65879-XL"/>
    <s v="E-L-0.5"/>
    <n v="4"/>
    <x v="583"/>
    <s v="edambrogiohn@techcrunch.com"/>
    <x v="0"/>
    <x v="1"/>
    <s v="L"/>
    <x v="1"/>
    <n v="8.91"/>
    <n v="35.64"/>
    <s v="Excelsa"/>
    <x v="1"/>
    <x v="0"/>
  </r>
  <r>
    <s v="AYY-83051-752"/>
    <x v="488"/>
    <s v="46431-09298-OU"/>
    <s v="L-L-1"/>
    <n v="6"/>
    <x v="584"/>
    <s v="cwinchcombeho@jiathis.com"/>
    <x v="0"/>
    <x v="3"/>
    <s v="L"/>
    <x v="0"/>
    <n v="15.85"/>
    <n v="95.1"/>
    <s v="Liberica"/>
    <x v="1"/>
    <x v="0"/>
  </r>
  <r>
    <s v="CSW-59644-267"/>
    <x v="489"/>
    <s v="60378-26473-FE"/>
    <s v="E-M-2.5"/>
    <n v="1"/>
    <x v="585"/>
    <s v="bpaumierhp@umn.edu"/>
    <x v="1"/>
    <x v="1"/>
    <s v="M"/>
    <x v="2"/>
    <n v="31.624999999999996"/>
    <n v="31.624999999999996"/>
    <s v="Excelsa"/>
    <x v="0"/>
    <x v="0"/>
  </r>
  <r>
    <s v="ITY-92466-909"/>
    <x v="162"/>
    <s v="34927-68586-ZV"/>
    <s v="A-M-2.5"/>
    <n v="3"/>
    <x v="586"/>
    <s v=""/>
    <x v="1"/>
    <x v="2"/>
    <s v="M"/>
    <x v="2"/>
    <n v="25.874999999999996"/>
    <n v="77.624999999999986"/>
    <s v="Arabica"/>
    <x v="0"/>
    <x v="0"/>
  </r>
  <r>
    <s v="IGW-04801-466"/>
    <x v="490"/>
    <s v="29051-27555-GD"/>
    <s v="L-D-0.2"/>
    <n v="1"/>
    <x v="587"/>
    <s v="jcapeyhr@bravesites.com"/>
    <x v="0"/>
    <x v="3"/>
    <s v="D"/>
    <x v="3"/>
    <n v="3.8849999999999998"/>
    <n v="3.8849999999999998"/>
    <s v="Liberica"/>
    <x v="2"/>
    <x v="0"/>
  </r>
  <r>
    <s v="LJN-34281-921"/>
    <x v="491"/>
    <s v="52143-35672-JF"/>
    <s v="R-L-2.5"/>
    <n v="5"/>
    <x v="588"/>
    <s v="tmathonneti0@google.co.jp"/>
    <x v="0"/>
    <x v="0"/>
    <s v="L"/>
    <x v="2"/>
    <n v="27.484999999999996"/>
    <n v="137.42499999999998"/>
    <s v="Robusta"/>
    <x v="1"/>
    <x v="1"/>
  </r>
  <r>
    <s v="BWZ-46364-547"/>
    <x v="301"/>
    <s v="64918-67725-MN"/>
    <s v="R-L-1"/>
    <n v="3"/>
    <x v="589"/>
    <s v="ybasillht@theguardian.com"/>
    <x v="0"/>
    <x v="0"/>
    <s v="L"/>
    <x v="0"/>
    <n v="11.95"/>
    <n v="35.849999999999994"/>
    <s v="Robusta"/>
    <x v="1"/>
    <x v="0"/>
  </r>
  <r>
    <s v="SBC-95710-706"/>
    <x v="194"/>
    <s v="85634-61759-ND"/>
    <s v="E-M-0.2"/>
    <n v="2"/>
    <x v="590"/>
    <s v="mbaistowhu@i2i.jp"/>
    <x v="2"/>
    <x v="1"/>
    <s v="M"/>
    <x v="3"/>
    <n v="4.125"/>
    <n v="8.25"/>
    <s v="Excelsa"/>
    <x v="0"/>
    <x v="0"/>
  </r>
  <r>
    <s v="WRN-55114-031"/>
    <x v="26"/>
    <s v="40180-22940-QB"/>
    <s v="E-L-2.5"/>
    <n v="3"/>
    <x v="591"/>
    <s v="cpallanthv@typepad.com"/>
    <x v="0"/>
    <x v="1"/>
    <s v="L"/>
    <x v="2"/>
    <n v="34.154999999999994"/>
    <n v="102.46499999999997"/>
    <s v="Excelsa"/>
    <x v="1"/>
    <x v="0"/>
  </r>
  <r>
    <s v="TZU-64255-831"/>
    <x v="125"/>
    <s v="34666-76738-SQ"/>
    <s v="R-D-2.5"/>
    <n v="2"/>
    <x v="592"/>
    <s v=""/>
    <x v="0"/>
    <x v="0"/>
    <s v="D"/>
    <x v="2"/>
    <n v="20.584999999999997"/>
    <n v="41.169999999999995"/>
    <s v="Robusta"/>
    <x v="2"/>
    <x v="1"/>
  </r>
  <r>
    <s v="JVF-91003-729"/>
    <x v="492"/>
    <s v="98536-88616-FF"/>
    <s v="A-D-2.5"/>
    <n v="3"/>
    <x v="593"/>
    <s v="dohx@redcross.org"/>
    <x v="0"/>
    <x v="2"/>
    <s v="D"/>
    <x v="2"/>
    <n v="22.884999999999998"/>
    <n v="68.655000000000001"/>
    <s v="Arabica"/>
    <x v="2"/>
    <x v="0"/>
  </r>
  <r>
    <s v="MVB-22135-665"/>
    <x v="462"/>
    <s v="55621-06130-SA"/>
    <s v="A-D-1"/>
    <n v="1"/>
    <x v="594"/>
    <s v="drallinhy@howstuffworks.com"/>
    <x v="0"/>
    <x v="2"/>
    <s v="D"/>
    <x v="0"/>
    <n v="9.9499999999999993"/>
    <n v="9.9499999999999993"/>
    <s v="Arabica"/>
    <x v="2"/>
    <x v="0"/>
  </r>
  <r>
    <s v="CKS-47815-571"/>
    <x v="493"/>
    <s v="45666-86771-EH"/>
    <s v="L-L-0.5"/>
    <n v="3"/>
    <x v="595"/>
    <s v="achillhz@epa.gov"/>
    <x v="2"/>
    <x v="3"/>
    <s v="L"/>
    <x v="1"/>
    <n v="9.51"/>
    <n v="28.53"/>
    <s v="Liberica"/>
    <x v="1"/>
    <x v="0"/>
  </r>
  <r>
    <s v="OAW-17338-101"/>
    <x v="494"/>
    <s v="52143-35672-JF"/>
    <s v="R-D-0.2"/>
    <n v="6"/>
    <x v="588"/>
    <s v="tmathonneti0@google.co.jp"/>
    <x v="0"/>
    <x v="0"/>
    <s v="D"/>
    <x v="3"/>
    <n v="2.6849999999999996"/>
    <n v="16.11"/>
    <s v="Robusta"/>
    <x v="2"/>
    <x v="1"/>
  </r>
  <r>
    <s v="ALP-37623-536"/>
    <x v="495"/>
    <s v="24689-69376-XX"/>
    <s v="L-L-1"/>
    <n v="6"/>
    <x v="596"/>
    <s v="cdenysi1@is.gd"/>
    <x v="2"/>
    <x v="3"/>
    <s v="L"/>
    <x v="0"/>
    <n v="15.85"/>
    <n v="95.1"/>
    <s v="Liberica"/>
    <x v="1"/>
    <x v="1"/>
  </r>
  <r>
    <s v="WMU-87639-108"/>
    <x v="496"/>
    <s v="71891-51101-VQ"/>
    <s v="R-D-0.5"/>
    <n v="1"/>
    <x v="597"/>
    <s v="cstebbingsi2@drupal.org"/>
    <x v="0"/>
    <x v="0"/>
    <s v="D"/>
    <x v="1"/>
    <n v="5.3699999999999992"/>
    <n v="5.3699999999999992"/>
    <s v="Robusta"/>
    <x v="2"/>
    <x v="0"/>
  </r>
  <r>
    <s v="USN-44968-231"/>
    <x v="497"/>
    <s v="71749-05400-CN"/>
    <s v="R-L-1"/>
    <n v="4"/>
    <x v="598"/>
    <s v=""/>
    <x v="0"/>
    <x v="0"/>
    <s v="L"/>
    <x v="0"/>
    <n v="11.95"/>
    <n v="47.8"/>
    <s v="Robusta"/>
    <x v="1"/>
    <x v="1"/>
  </r>
  <r>
    <s v="YZG-20575-451"/>
    <x v="498"/>
    <s v="64845-00270-NO"/>
    <s v="L-L-1"/>
    <n v="4"/>
    <x v="599"/>
    <s v="rzywickii4@ifeng.com"/>
    <x v="1"/>
    <x v="3"/>
    <s v="L"/>
    <x v="0"/>
    <n v="15.85"/>
    <n v="63.4"/>
    <s v="Liberica"/>
    <x v="1"/>
    <x v="1"/>
  </r>
  <r>
    <s v="HTH-52867-812"/>
    <x v="382"/>
    <s v="29851-36402-UX"/>
    <s v="A-M-2.5"/>
    <n v="4"/>
    <x v="600"/>
    <s v="aburgetti5@moonfruit.com"/>
    <x v="0"/>
    <x v="2"/>
    <s v="M"/>
    <x v="2"/>
    <n v="25.874999999999996"/>
    <n v="103.49999999999999"/>
    <s v="Arabica"/>
    <x v="0"/>
    <x v="1"/>
  </r>
  <r>
    <s v="FWU-44971-444"/>
    <x v="499"/>
    <s v="12190-25421-WM"/>
    <s v="A-D-2.5"/>
    <n v="3"/>
    <x v="601"/>
    <s v="mmalloyi6@seattletimes.com"/>
    <x v="0"/>
    <x v="2"/>
    <s v="D"/>
    <x v="2"/>
    <n v="22.884999999999998"/>
    <n v="68.655000000000001"/>
    <s v="Arabica"/>
    <x v="2"/>
    <x v="1"/>
  </r>
  <r>
    <s v="EQI-82205-066"/>
    <x v="500"/>
    <s v="52316-30571-GD"/>
    <s v="R-M-2.5"/>
    <n v="2"/>
    <x v="602"/>
    <s v="mmcparlandi7@w3.org"/>
    <x v="0"/>
    <x v="0"/>
    <s v="M"/>
    <x v="2"/>
    <n v="22.884999999999998"/>
    <n v="45.769999999999996"/>
    <s v="Robusta"/>
    <x v="0"/>
    <x v="0"/>
  </r>
  <r>
    <s v="NAR-00747-074"/>
    <x v="501"/>
    <s v="23243-92649-RY"/>
    <s v="L-D-1"/>
    <n v="4"/>
    <x v="603"/>
    <s v="sjennaroyi8@purevolume.com"/>
    <x v="0"/>
    <x v="3"/>
    <s v="D"/>
    <x v="0"/>
    <n v="12.95"/>
    <n v="51.8"/>
    <s v="Liberica"/>
    <x v="2"/>
    <x v="1"/>
  </r>
  <r>
    <s v="JYR-22052-185"/>
    <x v="502"/>
    <s v="39528-19971-OR"/>
    <s v="A-M-0.5"/>
    <n v="2"/>
    <x v="604"/>
    <s v="wplacei9@wsj.com"/>
    <x v="0"/>
    <x v="2"/>
    <s v="M"/>
    <x v="1"/>
    <n v="6.75"/>
    <n v="13.5"/>
    <s v="Arabica"/>
    <x v="0"/>
    <x v="0"/>
  </r>
  <r>
    <s v="XKO-54097-932"/>
    <x v="503"/>
    <s v="32743-78448-KT"/>
    <s v="E-M-0.5"/>
    <n v="3"/>
    <x v="605"/>
    <s v="jmillettik@addtoany.com"/>
    <x v="0"/>
    <x v="1"/>
    <s v="M"/>
    <x v="1"/>
    <n v="8.25"/>
    <n v="24.75"/>
    <s v="Excelsa"/>
    <x v="0"/>
    <x v="0"/>
  </r>
  <r>
    <s v="HXA-72415-025"/>
    <x v="504"/>
    <s v="93417-12322-YB"/>
    <s v="A-D-2.5"/>
    <n v="2"/>
    <x v="606"/>
    <s v="dgadsdenib@google.com.hk"/>
    <x v="1"/>
    <x v="2"/>
    <s v="D"/>
    <x v="2"/>
    <n v="22.884999999999998"/>
    <n v="45.769999999999996"/>
    <s v="Arabica"/>
    <x v="2"/>
    <x v="0"/>
  </r>
  <r>
    <s v="MJF-20065-335"/>
    <x v="497"/>
    <s v="56891-86662-UY"/>
    <s v="E-L-0.5"/>
    <n v="6"/>
    <x v="607"/>
    <s v="vwakelinic@unesco.org"/>
    <x v="0"/>
    <x v="1"/>
    <s v="L"/>
    <x v="1"/>
    <n v="8.91"/>
    <n v="53.46"/>
    <s v="Excelsa"/>
    <x v="1"/>
    <x v="1"/>
  </r>
  <r>
    <s v="GFI-83300-059"/>
    <x v="501"/>
    <s v="40414-26467-VE"/>
    <s v="A-M-0.2"/>
    <n v="6"/>
    <x v="608"/>
    <s v="acampsallid@zimbio.com"/>
    <x v="0"/>
    <x v="2"/>
    <s v="M"/>
    <x v="3"/>
    <n v="3.375"/>
    <n v="20.25"/>
    <s v="Arabica"/>
    <x v="0"/>
    <x v="0"/>
  </r>
  <r>
    <s v="WJR-51493-682"/>
    <x v="1"/>
    <s v="87858-83734-RK"/>
    <s v="L-D-2.5"/>
    <n v="5"/>
    <x v="609"/>
    <s v="smosebyie@stanford.edu"/>
    <x v="0"/>
    <x v="3"/>
    <s v="D"/>
    <x v="2"/>
    <n v="29.784999999999997"/>
    <n v="148.92499999999998"/>
    <s v="Liberica"/>
    <x v="2"/>
    <x v="1"/>
  </r>
  <r>
    <s v="SHP-55648-472"/>
    <x v="505"/>
    <s v="46818-20198-GB"/>
    <s v="A-M-1"/>
    <n v="6"/>
    <x v="610"/>
    <s v="cwassif@prweb.com"/>
    <x v="0"/>
    <x v="2"/>
    <s v="M"/>
    <x v="0"/>
    <n v="11.25"/>
    <n v="67.5"/>
    <s v="Arabica"/>
    <x v="0"/>
    <x v="1"/>
  </r>
  <r>
    <s v="HYR-03455-684"/>
    <x v="506"/>
    <s v="29808-89098-XD"/>
    <s v="E-D-1"/>
    <n v="6"/>
    <x v="611"/>
    <s v="isjostromig@pbs.org"/>
    <x v="0"/>
    <x v="1"/>
    <s v="D"/>
    <x v="0"/>
    <n v="12.15"/>
    <n v="72.900000000000006"/>
    <s v="Excelsa"/>
    <x v="2"/>
    <x v="1"/>
  </r>
  <r>
    <s v="HYR-03455-684"/>
    <x v="506"/>
    <s v="29808-89098-XD"/>
    <s v="L-D-0.2"/>
    <n v="2"/>
    <x v="611"/>
    <s v="isjostromig@pbs.org"/>
    <x v="0"/>
    <x v="3"/>
    <s v="D"/>
    <x v="3"/>
    <n v="3.8849999999999998"/>
    <n v="7.77"/>
    <s v="Liberica"/>
    <x v="2"/>
    <x v="1"/>
  </r>
  <r>
    <s v="HUG-52766-375"/>
    <x v="507"/>
    <s v="78786-77449-RQ"/>
    <s v="A-D-2.5"/>
    <n v="4"/>
    <x v="612"/>
    <s v="jbranchettii@bravesites.com"/>
    <x v="0"/>
    <x v="2"/>
    <s v="D"/>
    <x v="2"/>
    <n v="22.884999999999998"/>
    <n v="91.539999999999992"/>
    <s v="Arabica"/>
    <x v="2"/>
    <x v="1"/>
  </r>
  <r>
    <s v="DAH-46595-917"/>
    <x v="508"/>
    <s v="27878-42224-QF"/>
    <s v="A-D-1"/>
    <n v="6"/>
    <x v="613"/>
    <s v="nrudlandij@blogs.com"/>
    <x v="1"/>
    <x v="2"/>
    <s v="D"/>
    <x v="0"/>
    <n v="9.9499999999999993"/>
    <n v="59.699999999999996"/>
    <s v="Arabica"/>
    <x v="2"/>
    <x v="1"/>
  </r>
  <r>
    <s v="VEM-79839-466"/>
    <x v="509"/>
    <s v="32743-78448-KT"/>
    <s v="R-L-2.5"/>
    <n v="5"/>
    <x v="605"/>
    <s v="jmillettik@addtoany.com"/>
    <x v="0"/>
    <x v="0"/>
    <s v="L"/>
    <x v="2"/>
    <n v="27.484999999999996"/>
    <n v="137.42499999999998"/>
    <s v="Robusta"/>
    <x v="1"/>
    <x v="0"/>
  </r>
  <r>
    <s v="OWH-11126-533"/>
    <x v="131"/>
    <s v="25331-13794-SB"/>
    <s v="L-M-2.5"/>
    <n v="2"/>
    <x v="614"/>
    <s v="ftourryil@google.de"/>
    <x v="0"/>
    <x v="3"/>
    <s v="M"/>
    <x v="2"/>
    <n v="33.464999999999996"/>
    <n v="66.929999999999993"/>
    <s v="Liberica"/>
    <x v="0"/>
    <x v="1"/>
  </r>
  <r>
    <s v="UMT-26130-151"/>
    <x v="510"/>
    <s v="55864-37682-GQ"/>
    <s v="L-M-0.2"/>
    <n v="3"/>
    <x v="615"/>
    <s v="cweatherallim@toplist.cz"/>
    <x v="0"/>
    <x v="3"/>
    <s v="M"/>
    <x v="3"/>
    <n v="4.3650000000000002"/>
    <n v="13.095000000000001"/>
    <s v="Liberica"/>
    <x v="0"/>
    <x v="0"/>
  </r>
  <r>
    <s v="JKA-27899-806"/>
    <x v="511"/>
    <s v="97005-25609-CQ"/>
    <s v="R-L-1"/>
    <n v="5"/>
    <x v="616"/>
    <s v="gheindrickin@usda.gov"/>
    <x v="0"/>
    <x v="0"/>
    <s v="L"/>
    <x v="0"/>
    <n v="11.95"/>
    <n v="59.75"/>
    <s v="Robusta"/>
    <x v="1"/>
    <x v="1"/>
  </r>
  <r>
    <s v="ULU-07744-724"/>
    <x v="512"/>
    <s v="94058-95794-IJ"/>
    <s v="L-M-0.5"/>
    <n v="5"/>
    <x v="617"/>
    <s v="limasonio@discuz.net"/>
    <x v="0"/>
    <x v="3"/>
    <s v="M"/>
    <x v="1"/>
    <n v="8.73"/>
    <n v="43.650000000000006"/>
    <s v="Liberica"/>
    <x v="0"/>
    <x v="0"/>
  </r>
  <r>
    <s v="NOM-56457-507"/>
    <x v="513"/>
    <s v="40214-03678-GU"/>
    <s v="E-M-1"/>
    <n v="6"/>
    <x v="618"/>
    <s v="hsaillip@odnoklassniki.ru"/>
    <x v="0"/>
    <x v="1"/>
    <s v="M"/>
    <x v="0"/>
    <n v="13.75"/>
    <n v="82.5"/>
    <s v="Excelsa"/>
    <x v="0"/>
    <x v="0"/>
  </r>
  <r>
    <s v="NZN-71683-705"/>
    <x v="514"/>
    <s v="04921-85445-SL"/>
    <s v="A-L-2.5"/>
    <n v="6"/>
    <x v="619"/>
    <s v="hlarvoriq@last.fm"/>
    <x v="0"/>
    <x v="2"/>
    <s v="L"/>
    <x v="2"/>
    <n v="29.784999999999997"/>
    <n v="178.70999999999998"/>
    <s v="Arabica"/>
    <x v="1"/>
    <x v="0"/>
  </r>
  <r>
    <s v="WMA-34232-850"/>
    <x v="7"/>
    <s v="53386-94266-LJ"/>
    <s v="L-D-2.5"/>
    <n v="4"/>
    <x v="620"/>
    <s v=""/>
    <x v="0"/>
    <x v="3"/>
    <s v="D"/>
    <x v="2"/>
    <n v="29.784999999999997"/>
    <n v="119.13999999999999"/>
    <s v="Liberica"/>
    <x v="2"/>
    <x v="0"/>
  </r>
  <r>
    <s v="EZL-27919-704"/>
    <x v="481"/>
    <s v="49480-85909-DG"/>
    <s v="L-L-0.5"/>
    <n v="5"/>
    <x v="621"/>
    <s v=""/>
    <x v="0"/>
    <x v="3"/>
    <s v="L"/>
    <x v="1"/>
    <n v="9.51"/>
    <n v="47.55"/>
    <s v="Liberica"/>
    <x v="1"/>
    <x v="1"/>
  </r>
  <r>
    <s v="ZYU-11345-774"/>
    <x v="515"/>
    <s v="18293-78136-MN"/>
    <s v="L-M-0.5"/>
    <n v="5"/>
    <x v="622"/>
    <s v="cpenwardenit@mlb.com"/>
    <x v="1"/>
    <x v="3"/>
    <s v="M"/>
    <x v="1"/>
    <n v="8.73"/>
    <n v="43.650000000000006"/>
    <s v="Liberica"/>
    <x v="0"/>
    <x v="1"/>
  </r>
  <r>
    <s v="CPW-34587-459"/>
    <x v="516"/>
    <s v="84641-67384-TD"/>
    <s v="A-L-2.5"/>
    <n v="6"/>
    <x v="623"/>
    <s v="mmiddisiu@dmoz.org"/>
    <x v="0"/>
    <x v="2"/>
    <s v="L"/>
    <x v="2"/>
    <n v="29.784999999999997"/>
    <n v="178.70999999999998"/>
    <s v="Arabica"/>
    <x v="1"/>
    <x v="0"/>
  </r>
  <r>
    <s v="NQZ-82067-394"/>
    <x v="517"/>
    <s v="72320-29738-EB"/>
    <s v="R-L-2.5"/>
    <n v="1"/>
    <x v="624"/>
    <s v="avairowiv@studiopress.com"/>
    <x v="2"/>
    <x v="0"/>
    <s v="L"/>
    <x v="2"/>
    <n v="27.484999999999996"/>
    <n v="27.484999999999996"/>
    <s v="Robusta"/>
    <x v="1"/>
    <x v="1"/>
  </r>
  <r>
    <s v="JBW-95055-851"/>
    <x v="518"/>
    <s v="47355-97488-XS"/>
    <s v="A-M-1"/>
    <n v="5"/>
    <x v="625"/>
    <s v="agoldieiw@goo.gl"/>
    <x v="0"/>
    <x v="2"/>
    <s v="M"/>
    <x v="0"/>
    <n v="11.25"/>
    <n v="56.25"/>
    <s v="Arabica"/>
    <x v="0"/>
    <x v="1"/>
  </r>
  <r>
    <s v="AHY-20324-088"/>
    <x v="519"/>
    <s v="63499-24884-PP"/>
    <s v="L-L-0.2"/>
    <n v="2"/>
    <x v="626"/>
    <s v="nayrisix@t-online.de"/>
    <x v="2"/>
    <x v="3"/>
    <s v="L"/>
    <x v="3"/>
    <n v="4.7549999999999999"/>
    <n v="9.51"/>
    <s v="Liberica"/>
    <x v="1"/>
    <x v="0"/>
  </r>
  <r>
    <s v="ZSL-66684-103"/>
    <x v="520"/>
    <s v="39193-51770-FM"/>
    <s v="E-M-0.2"/>
    <n v="2"/>
    <x v="627"/>
    <s v="lbenediktovichiy@wunderground.com"/>
    <x v="0"/>
    <x v="1"/>
    <s v="M"/>
    <x v="3"/>
    <n v="4.125"/>
    <n v="8.25"/>
    <s v="Excelsa"/>
    <x v="0"/>
    <x v="0"/>
  </r>
  <r>
    <s v="WNE-73911-475"/>
    <x v="521"/>
    <s v="61323-91967-GG"/>
    <s v="L-D-0.5"/>
    <n v="6"/>
    <x v="628"/>
    <s v="tjacobovitziz@cbc.ca"/>
    <x v="0"/>
    <x v="3"/>
    <s v="D"/>
    <x v="1"/>
    <n v="7.77"/>
    <n v="46.62"/>
    <s v="Liberica"/>
    <x v="2"/>
    <x v="1"/>
  </r>
  <r>
    <s v="EZB-68383-559"/>
    <x v="418"/>
    <s v="90123-01967-KS"/>
    <s v="R-L-1"/>
    <n v="6"/>
    <x v="629"/>
    <s v=""/>
    <x v="0"/>
    <x v="0"/>
    <s v="L"/>
    <x v="0"/>
    <n v="11.95"/>
    <n v="71.699999999999989"/>
    <s v="Robusta"/>
    <x v="1"/>
    <x v="1"/>
  </r>
  <r>
    <s v="OVO-01283-090"/>
    <x v="122"/>
    <s v="15958-25089-OS"/>
    <s v="L-L-2.5"/>
    <n v="2"/>
    <x v="630"/>
    <s v="jdruittj1@feedburner.com"/>
    <x v="0"/>
    <x v="3"/>
    <s v="L"/>
    <x v="2"/>
    <n v="36.454999999999998"/>
    <n v="72.91"/>
    <s v="Liberica"/>
    <x v="1"/>
    <x v="0"/>
  </r>
  <r>
    <s v="TXH-78646-919"/>
    <x v="423"/>
    <s v="98430-37820-UV"/>
    <s v="R-D-0.2"/>
    <n v="3"/>
    <x v="631"/>
    <s v="dshortallj2@wikipedia.org"/>
    <x v="0"/>
    <x v="0"/>
    <s v="D"/>
    <x v="3"/>
    <n v="2.6849999999999996"/>
    <n v="8.0549999999999997"/>
    <s v="Robusta"/>
    <x v="2"/>
    <x v="0"/>
  </r>
  <r>
    <s v="CYZ-37122-164"/>
    <x v="463"/>
    <s v="21798-04171-XC"/>
    <s v="E-M-0.5"/>
    <n v="2"/>
    <x v="632"/>
    <s v="wcottierj3@cafepress.com"/>
    <x v="0"/>
    <x v="1"/>
    <s v="M"/>
    <x v="1"/>
    <n v="8.25"/>
    <n v="16.5"/>
    <s v="Excelsa"/>
    <x v="0"/>
    <x v="1"/>
  </r>
  <r>
    <s v="AGQ-06534-750"/>
    <x v="273"/>
    <s v="52798-46508-HP"/>
    <s v="A-L-1"/>
    <n v="5"/>
    <x v="633"/>
    <s v="kgrinstedj4@google.com.br"/>
    <x v="1"/>
    <x v="2"/>
    <s v="L"/>
    <x v="0"/>
    <n v="12.95"/>
    <n v="64.75"/>
    <s v="Arabica"/>
    <x v="1"/>
    <x v="1"/>
  </r>
  <r>
    <s v="QVL-32245-818"/>
    <x v="522"/>
    <s v="46478-42970-EM"/>
    <s v="A-M-0.5"/>
    <n v="5"/>
    <x v="634"/>
    <s v="dskynerj5@hubpages.com"/>
    <x v="0"/>
    <x v="2"/>
    <s v="M"/>
    <x v="1"/>
    <n v="6.75"/>
    <n v="33.75"/>
    <s v="Arabica"/>
    <x v="0"/>
    <x v="1"/>
  </r>
  <r>
    <s v="LTD-96842-834"/>
    <x v="523"/>
    <s v="00246-15080-LE"/>
    <s v="L-D-2.5"/>
    <n v="6"/>
    <x v="635"/>
    <s v=""/>
    <x v="0"/>
    <x v="3"/>
    <s v="D"/>
    <x v="2"/>
    <n v="29.784999999999997"/>
    <n v="178.70999999999998"/>
    <s v="Liberica"/>
    <x v="2"/>
    <x v="1"/>
  </r>
  <r>
    <s v="SEC-91807-425"/>
    <x v="260"/>
    <s v="94091-86957-HX"/>
    <s v="A-M-1"/>
    <n v="2"/>
    <x v="636"/>
    <s v="jdymokeje@prnewswire.com"/>
    <x v="1"/>
    <x v="2"/>
    <s v="M"/>
    <x v="0"/>
    <n v="11.25"/>
    <n v="22.5"/>
    <s v="Arabica"/>
    <x v="0"/>
    <x v="1"/>
  </r>
  <r>
    <s v="MHM-44857-599"/>
    <x v="331"/>
    <s v="26295-44907-DK"/>
    <s v="L-D-1"/>
    <n v="1"/>
    <x v="637"/>
    <s v="aweinmannj8@shinystat.com"/>
    <x v="0"/>
    <x v="3"/>
    <s v="D"/>
    <x v="0"/>
    <n v="12.95"/>
    <n v="12.95"/>
    <s v="Liberica"/>
    <x v="2"/>
    <x v="1"/>
  </r>
  <r>
    <s v="KGC-95046-911"/>
    <x v="524"/>
    <s v="95351-96177-QV"/>
    <s v="A-M-2.5"/>
    <n v="2"/>
    <x v="638"/>
    <s v="eandriessenj9@europa.eu"/>
    <x v="0"/>
    <x v="2"/>
    <s v="M"/>
    <x v="2"/>
    <n v="25.874999999999996"/>
    <n v="51.749999999999993"/>
    <s v="Arabica"/>
    <x v="0"/>
    <x v="0"/>
  </r>
  <r>
    <s v="RZC-75150-413"/>
    <x v="525"/>
    <s v="92204-96636-BS"/>
    <s v="E-D-0.5"/>
    <n v="5"/>
    <x v="639"/>
    <s v="rdeaconsonja@archive.org"/>
    <x v="0"/>
    <x v="1"/>
    <s v="D"/>
    <x v="1"/>
    <n v="7.29"/>
    <n v="36.450000000000003"/>
    <s v="Excelsa"/>
    <x v="2"/>
    <x v="1"/>
  </r>
  <r>
    <s v="EYH-88288-452"/>
    <x v="526"/>
    <s v="03010-30348-UA"/>
    <s v="L-L-2.5"/>
    <n v="5"/>
    <x v="640"/>
    <s v="dcarojb@twitter.com"/>
    <x v="0"/>
    <x v="3"/>
    <s v="L"/>
    <x v="2"/>
    <n v="36.454999999999998"/>
    <n v="182.27499999999998"/>
    <s v="Liberica"/>
    <x v="1"/>
    <x v="0"/>
  </r>
  <r>
    <s v="NYQ-24237-772"/>
    <x v="104"/>
    <s v="13441-34686-SW"/>
    <s v="L-D-0.5"/>
    <n v="4"/>
    <x v="641"/>
    <s v="jbluckjc@imageshack.us"/>
    <x v="0"/>
    <x v="3"/>
    <s v="D"/>
    <x v="1"/>
    <n v="7.77"/>
    <n v="31.08"/>
    <s v="Liberica"/>
    <x v="2"/>
    <x v="1"/>
  </r>
  <r>
    <s v="WKB-21680-566"/>
    <x v="491"/>
    <s v="96612-41722-VJ"/>
    <s v="A-M-0.5"/>
    <n v="3"/>
    <x v="642"/>
    <s v=""/>
    <x v="1"/>
    <x v="2"/>
    <s v="M"/>
    <x v="1"/>
    <n v="6.75"/>
    <n v="20.25"/>
    <s v="Arabica"/>
    <x v="0"/>
    <x v="1"/>
  </r>
  <r>
    <s v="THE-61147-027"/>
    <x v="157"/>
    <s v="94091-86957-HX"/>
    <s v="L-D-1"/>
    <n v="2"/>
    <x v="636"/>
    <s v="jdymokeje@prnewswire.com"/>
    <x v="1"/>
    <x v="3"/>
    <s v="D"/>
    <x v="0"/>
    <n v="12.95"/>
    <n v="25.9"/>
    <s v="Liberica"/>
    <x v="2"/>
    <x v="1"/>
  </r>
  <r>
    <s v="PTY-86420-119"/>
    <x v="527"/>
    <s v="25504-41681-WA"/>
    <s v="A-D-0.5"/>
    <n v="4"/>
    <x v="643"/>
    <s v="otadmanjf@ft.com"/>
    <x v="0"/>
    <x v="2"/>
    <s v="D"/>
    <x v="1"/>
    <n v="5.97"/>
    <n v="23.88"/>
    <s v="Arabica"/>
    <x v="2"/>
    <x v="0"/>
  </r>
  <r>
    <s v="QHL-27188-431"/>
    <x v="528"/>
    <s v="75443-07820-DZ"/>
    <s v="L-L-0.5"/>
    <n v="2"/>
    <x v="644"/>
    <s v="bguddejg@dailymotion.com"/>
    <x v="0"/>
    <x v="3"/>
    <s v="L"/>
    <x v="1"/>
    <n v="9.51"/>
    <n v="19.02"/>
    <s v="Liberica"/>
    <x v="1"/>
    <x v="1"/>
  </r>
  <r>
    <s v="MIS-54381-047"/>
    <x v="99"/>
    <s v="39276-95489-XV"/>
    <s v="A-D-0.5"/>
    <n v="5"/>
    <x v="645"/>
    <s v="nsictornesjh@buzzfeed.com"/>
    <x v="1"/>
    <x v="2"/>
    <s v="D"/>
    <x v="1"/>
    <n v="5.97"/>
    <n v="29.849999999999998"/>
    <s v="Arabica"/>
    <x v="2"/>
    <x v="0"/>
  </r>
  <r>
    <s v="TBB-29780-459"/>
    <x v="529"/>
    <s v="61437-83623-PZ"/>
    <s v="A-L-0.5"/>
    <n v="1"/>
    <x v="646"/>
    <s v="vdunningji@independent.co.uk"/>
    <x v="0"/>
    <x v="2"/>
    <s v="L"/>
    <x v="1"/>
    <n v="7.77"/>
    <n v="7.77"/>
    <s v="Arabica"/>
    <x v="1"/>
    <x v="0"/>
  </r>
  <r>
    <s v="QLC-52637-305"/>
    <x v="530"/>
    <s v="34317-87258-HQ"/>
    <s v="L-D-2.5"/>
    <n v="4"/>
    <x v="647"/>
    <s v=""/>
    <x v="1"/>
    <x v="3"/>
    <s v="D"/>
    <x v="2"/>
    <n v="29.784999999999997"/>
    <n v="119.13999999999999"/>
    <s v="Liberica"/>
    <x v="2"/>
    <x v="0"/>
  </r>
  <r>
    <s v="CWT-27056-328"/>
    <x v="531"/>
    <s v="18570-80998-ZS"/>
    <s v="E-D-0.2"/>
    <n v="6"/>
    <x v="648"/>
    <s v=""/>
    <x v="0"/>
    <x v="1"/>
    <s v="D"/>
    <x v="3"/>
    <n v="3.645"/>
    <n v="21.87"/>
    <s v="Excelsa"/>
    <x v="2"/>
    <x v="0"/>
  </r>
  <r>
    <s v="ASS-05878-128"/>
    <x v="210"/>
    <s v="66580-33745-OQ"/>
    <s v="E-L-0.5"/>
    <n v="2"/>
    <x v="649"/>
    <s v="sgehringjl@gnu.org"/>
    <x v="0"/>
    <x v="1"/>
    <s v="L"/>
    <x v="1"/>
    <n v="8.91"/>
    <n v="17.82"/>
    <s v="Excelsa"/>
    <x v="1"/>
    <x v="1"/>
  </r>
  <r>
    <s v="EGK-03027-418"/>
    <x v="532"/>
    <s v="19820-29285-FD"/>
    <s v="E-M-0.2"/>
    <n v="3"/>
    <x v="650"/>
    <s v="bfallowesjm@purevolume.com"/>
    <x v="0"/>
    <x v="1"/>
    <s v="M"/>
    <x v="3"/>
    <n v="4.125"/>
    <n v="12.375"/>
    <s v="Excelsa"/>
    <x v="0"/>
    <x v="1"/>
  </r>
  <r>
    <s v="KCY-61732-849"/>
    <x v="533"/>
    <s v="11349-55147-SN"/>
    <s v="L-D-1"/>
    <n v="2"/>
    <x v="651"/>
    <s v=""/>
    <x v="1"/>
    <x v="3"/>
    <s v="D"/>
    <x v="0"/>
    <n v="12.95"/>
    <n v="25.9"/>
    <s v="Liberica"/>
    <x v="2"/>
    <x v="1"/>
  </r>
  <r>
    <s v="BLI-21697-702"/>
    <x v="534"/>
    <s v="21141-12455-VB"/>
    <s v="A-M-0.5"/>
    <n v="2"/>
    <x v="652"/>
    <s v="sdejo@newsvine.com"/>
    <x v="0"/>
    <x v="2"/>
    <s v="M"/>
    <x v="1"/>
    <n v="6.75"/>
    <n v="13.5"/>
    <s v="Arabica"/>
    <x v="0"/>
    <x v="0"/>
  </r>
  <r>
    <s v="KFJ-46568-890"/>
    <x v="535"/>
    <s v="71003-85639-HB"/>
    <s v="E-L-0.5"/>
    <n v="2"/>
    <x v="653"/>
    <s v=""/>
    <x v="0"/>
    <x v="1"/>
    <s v="L"/>
    <x v="1"/>
    <n v="8.91"/>
    <n v="17.82"/>
    <s v="Excelsa"/>
    <x v="1"/>
    <x v="0"/>
  </r>
  <r>
    <s v="SOK-43535-680"/>
    <x v="536"/>
    <s v="58443-95866-YO"/>
    <s v="E-M-0.5"/>
    <n v="3"/>
    <x v="654"/>
    <s v="scountjq@nba.com"/>
    <x v="0"/>
    <x v="1"/>
    <s v="M"/>
    <x v="1"/>
    <n v="8.25"/>
    <n v="24.75"/>
    <s v="Excelsa"/>
    <x v="0"/>
    <x v="1"/>
  </r>
  <r>
    <s v="XUE-87260-201"/>
    <x v="537"/>
    <s v="89646-21249-OH"/>
    <s v="R-M-0.2"/>
    <n v="6"/>
    <x v="655"/>
    <s v="sraglesjr@blogtalkradio.com"/>
    <x v="0"/>
    <x v="0"/>
    <s v="M"/>
    <x v="3"/>
    <n v="2.9849999999999999"/>
    <n v="17.91"/>
    <s v="Robusta"/>
    <x v="0"/>
    <x v="1"/>
  </r>
  <r>
    <s v="CZF-40873-691"/>
    <x v="61"/>
    <s v="64988-20636-XQ"/>
    <s v="E-M-0.5"/>
    <n v="2"/>
    <x v="656"/>
    <s v=""/>
    <x v="2"/>
    <x v="1"/>
    <s v="M"/>
    <x v="1"/>
    <n v="8.25"/>
    <n v="16.5"/>
    <s v="Excelsa"/>
    <x v="0"/>
    <x v="1"/>
  </r>
  <r>
    <s v="AIA-98989-755"/>
    <x v="242"/>
    <s v="34704-83143-KS"/>
    <s v="R-M-0.2"/>
    <n v="1"/>
    <x v="657"/>
    <s v="sbruunjt@blogtalkradio.com"/>
    <x v="0"/>
    <x v="0"/>
    <s v="M"/>
    <x v="3"/>
    <n v="2.9849999999999999"/>
    <n v="2.9849999999999999"/>
    <s v="Robusta"/>
    <x v="0"/>
    <x v="1"/>
  </r>
  <r>
    <s v="ITZ-21793-986"/>
    <x v="299"/>
    <s v="67388-17544-XX"/>
    <s v="E-D-0.2"/>
    <n v="4"/>
    <x v="658"/>
    <s v="aplluju@dagondesign.com"/>
    <x v="1"/>
    <x v="1"/>
    <s v="D"/>
    <x v="3"/>
    <n v="3.645"/>
    <n v="14.58"/>
    <s v="Excelsa"/>
    <x v="2"/>
    <x v="0"/>
  </r>
  <r>
    <s v="YOK-93322-608"/>
    <x v="343"/>
    <s v="69411-48470-ID"/>
    <s v="E-L-1"/>
    <n v="6"/>
    <x v="659"/>
    <s v="gcornierjv@techcrunch.com"/>
    <x v="0"/>
    <x v="1"/>
    <s v="L"/>
    <x v="0"/>
    <n v="14.85"/>
    <n v="89.1"/>
    <s v="Excelsa"/>
    <x v="1"/>
    <x v="1"/>
  </r>
  <r>
    <s v="LXK-00634-611"/>
    <x v="538"/>
    <s v="94091-86957-HX"/>
    <s v="R-L-1"/>
    <n v="3"/>
    <x v="636"/>
    <s v="jdymokeje@prnewswire.com"/>
    <x v="1"/>
    <x v="0"/>
    <s v="L"/>
    <x v="0"/>
    <n v="11.95"/>
    <n v="35.849999999999994"/>
    <s v="Robusta"/>
    <x v="1"/>
    <x v="1"/>
  </r>
  <r>
    <s v="CQW-37388-302"/>
    <x v="539"/>
    <s v="97741-98924-KT"/>
    <s v="A-D-2.5"/>
    <n v="3"/>
    <x v="660"/>
    <s v="wharvisonjx@gizmodo.com"/>
    <x v="0"/>
    <x v="2"/>
    <s v="D"/>
    <x v="2"/>
    <n v="22.884999999999998"/>
    <n v="68.655000000000001"/>
    <s v="Arabica"/>
    <x v="2"/>
    <x v="1"/>
  </r>
  <r>
    <s v="SPA-79365-334"/>
    <x v="27"/>
    <s v="79857-78167-KO"/>
    <s v="L-D-1"/>
    <n v="3"/>
    <x v="661"/>
    <s v="dheafordjy@twitpic.com"/>
    <x v="0"/>
    <x v="3"/>
    <s v="D"/>
    <x v="0"/>
    <n v="12.95"/>
    <n v="38.849999999999994"/>
    <s v="Liberica"/>
    <x v="2"/>
    <x v="1"/>
  </r>
  <r>
    <s v="VPX-08817-517"/>
    <x v="540"/>
    <s v="46963-10322-ZA"/>
    <s v="L-L-1"/>
    <n v="5"/>
    <x v="662"/>
    <s v="gfanthamjz@hexun.com"/>
    <x v="0"/>
    <x v="3"/>
    <s v="L"/>
    <x v="0"/>
    <n v="15.85"/>
    <n v="79.25"/>
    <s v="Liberica"/>
    <x v="1"/>
    <x v="0"/>
  </r>
  <r>
    <s v="PBP-87115-410"/>
    <x v="541"/>
    <s v="93812-74772-MV"/>
    <s v="E-D-0.5"/>
    <n v="5"/>
    <x v="663"/>
    <s v="rcrookshanksk0@unc.edu"/>
    <x v="0"/>
    <x v="1"/>
    <s v="D"/>
    <x v="1"/>
    <n v="7.29"/>
    <n v="36.450000000000003"/>
    <s v="Excelsa"/>
    <x v="2"/>
    <x v="0"/>
  </r>
  <r>
    <s v="SFB-93752-440"/>
    <x v="390"/>
    <s v="48203-23480-UB"/>
    <s v="R-M-0.2"/>
    <n v="3"/>
    <x v="664"/>
    <s v="nleakek1@cmu.edu"/>
    <x v="0"/>
    <x v="0"/>
    <s v="M"/>
    <x v="3"/>
    <n v="2.9849999999999999"/>
    <n v="8.9550000000000001"/>
    <s v="Robusta"/>
    <x v="0"/>
    <x v="0"/>
  </r>
  <r>
    <s v="TBU-65158-068"/>
    <x v="396"/>
    <s v="60357-65386-RD"/>
    <s v="E-D-1"/>
    <n v="2"/>
    <x v="665"/>
    <s v=""/>
    <x v="0"/>
    <x v="1"/>
    <s v="D"/>
    <x v="0"/>
    <n v="12.15"/>
    <n v="24.3"/>
    <s v="Excelsa"/>
    <x v="2"/>
    <x v="1"/>
  </r>
  <r>
    <s v="TEH-08414-216"/>
    <x v="185"/>
    <s v="35099-13971-JI"/>
    <s v="E-M-2.5"/>
    <n v="2"/>
    <x v="666"/>
    <s v="geilhersenk3@networksolutions.com"/>
    <x v="0"/>
    <x v="1"/>
    <s v="M"/>
    <x v="2"/>
    <n v="31.624999999999996"/>
    <n v="63.249999999999993"/>
    <s v="Excelsa"/>
    <x v="0"/>
    <x v="1"/>
  </r>
  <r>
    <s v="MAY-77231-536"/>
    <x v="542"/>
    <s v="01304-59807-OB"/>
    <s v="A-M-0.2"/>
    <n v="2"/>
    <x v="667"/>
    <s v=""/>
    <x v="0"/>
    <x v="2"/>
    <s v="M"/>
    <x v="3"/>
    <n v="3.375"/>
    <n v="6.75"/>
    <s v="Arabica"/>
    <x v="0"/>
    <x v="0"/>
  </r>
  <r>
    <s v="ATY-28980-884"/>
    <x v="117"/>
    <s v="50705-17295-NK"/>
    <s v="A-L-0.2"/>
    <n v="6"/>
    <x v="668"/>
    <s v="caleixok5@globo.com"/>
    <x v="0"/>
    <x v="2"/>
    <s v="L"/>
    <x v="3"/>
    <n v="3.8849999999999998"/>
    <n v="23.31"/>
    <s v="Arabica"/>
    <x v="1"/>
    <x v="1"/>
  </r>
  <r>
    <s v="SWP-88281-918"/>
    <x v="543"/>
    <s v="77657-61366-FY"/>
    <s v="L-L-2.5"/>
    <n v="4"/>
    <x v="669"/>
    <s v=""/>
    <x v="0"/>
    <x v="3"/>
    <s v="L"/>
    <x v="2"/>
    <n v="36.454999999999998"/>
    <n v="145.82"/>
    <s v="Liberica"/>
    <x v="1"/>
    <x v="1"/>
  </r>
  <r>
    <s v="VCE-56531-986"/>
    <x v="544"/>
    <s v="57192-13428-PL"/>
    <s v="R-M-0.5"/>
    <n v="5"/>
    <x v="670"/>
    <s v="rtomkowiczk7@bravesites.com"/>
    <x v="1"/>
    <x v="0"/>
    <s v="M"/>
    <x v="1"/>
    <n v="5.97"/>
    <n v="29.849999999999998"/>
    <s v="Robusta"/>
    <x v="0"/>
    <x v="0"/>
  </r>
  <r>
    <s v="FVV-75700-005"/>
    <x v="545"/>
    <s v="24891-77957-LU"/>
    <s v="E-D-0.5"/>
    <n v="3"/>
    <x v="671"/>
    <s v="rhuscroftk8@jimdo.com"/>
    <x v="0"/>
    <x v="1"/>
    <s v="D"/>
    <x v="1"/>
    <n v="7.29"/>
    <n v="21.87"/>
    <s v="Excelsa"/>
    <x v="2"/>
    <x v="0"/>
  </r>
  <r>
    <s v="CFZ-53492-600"/>
    <x v="546"/>
    <s v="64896-18468-BT"/>
    <s v="L-M-0.2"/>
    <n v="1"/>
    <x v="672"/>
    <s v="sscurrerk9@flavors.me"/>
    <x v="2"/>
    <x v="3"/>
    <s v="M"/>
    <x v="3"/>
    <n v="4.3650000000000002"/>
    <n v="4.3650000000000002"/>
    <s v="Liberica"/>
    <x v="0"/>
    <x v="1"/>
  </r>
  <r>
    <s v="LDK-71031-121"/>
    <x v="420"/>
    <s v="84761-40784-SV"/>
    <s v="L-L-2.5"/>
    <n v="1"/>
    <x v="673"/>
    <s v="arudramka@prnewswire.com"/>
    <x v="0"/>
    <x v="3"/>
    <s v="L"/>
    <x v="2"/>
    <n v="36.454999999999998"/>
    <n v="36.454999999999998"/>
    <s v="Liberica"/>
    <x v="1"/>
    <x v="1"/>
  </r>
  <r>
    <s v="EBA-82404-343"/>
    <x v="547"/>
    <s v="20236-42322-CM"/>
    <s v="L-D-0.2"/>
    <n v="4"/>
    <x v="674"/>
    <s v=""/>
    <x v="0"/>
    <x v="3"/>
    <s v="D"/>
    <x v="3"/>
    <n v="3.8849999999999998"/>
    <n v="15.54"/>
    <s v="Liberica"/>
    <x v="2"/>
    <x v="0"/>
  </r>
  <r>
    <s v="USA-42811-560"/>
    <x v="548"/>
    <s v="49671-11547-WG"/>
    <s v="E-L-0.2"/>
    <n v="2"/>
    <x v="675"/>
    <s v="jmahakc@cyberchimps.com"/>
    <x v="0"/>
    <x v="1"/>
    <s v="L"/>
    <x v="3"/>
    <n v="4.4550000000000001"/>
    <n v="8.91"/>
    <s v="Excelsa"/>
    <x v="1"/>
    <x v="1"/>
  </r>
  <r>
    <s v="SNL-83703-516"/>
    <x v="549"/>
    <s v="57976-33535-WK"/>
    <s v="L-M-2.5"/>
    <n v="3"/>
    <x v="676"/>
    <s v="gclemonkd@networksolutions.com"/>
    <x v="0"/>
    <x v="3"/>
    <s v="M"/>
    <x v="2"/>
    <n v="33.464999999999996"/>
    <n v="100.39499999999998"/>
    <s v="Liberica"/>
    <x v="0"/>
    <x v="0"/>
  </r>
  <r>
    <s v="SUZ-83036-175"/>
    <x v="550"/>
    <s v="55915-19477-MK"/>
    <s v="R-D-0.2"/>
    <n v="5"/>
    <x v="677"/>
    <s v=""/>
    <x v="0"/>
    <x v="0"/>
    <s v="D"/>
    <x v="3"/>
    <n v="2.6849999999999996"/>
    <n v="13.424999999999997"/>
    <s v="Robusta"/>
    <x v="2"/>
    <x v="1"/>
  </r>
  <r>
    <s v="RGM-01187-513"/>
    <x v="551"/>
    <s v="28121-11641-UA"/>
    <s v="E-D-0.2"/>
    <n v="6"/>
    <x v="678"/>
    <s v="bpollinskf@shinystat.com"/>
    <x v="0"/>
    <x v="1"/>
    <s v="D"/>
    <x v="3"/>
    <n v="3.645"/>
    <n v="21.87"/>
    <s v="Excelsa"/>
    <x v="2"/>
    <x v="1"/>
  </r>
  <r>
    <s v="CZG-01299-952"/>
    <x v="552"/>
    <s v="09540-70637-EV"/>
    <s v="L-D-1"/>
    <n v="2"/>
    <x v="679"/>
    <s v="jtoyekg@pinterest.com"/>
    <x v="1"/>
    <x v="3"/>
    <s v="D"/>
    <x v="0"/>
    <n v="12.95"/>
    <n v="25.9"/>
    <s v="Liberica"/>
    <x v="2"/>
    <x v="0"/>
  </r>
  <r>
    <s v="KLD-88731-484"/>
    <x v="553"/>
    <s v="17775-77072-PP"/>
    <s v="A-M-1"/>
    <n v="5"/>
    <x v="680"/>
    <s v="clinskillkh@sphinn.com"/>
    <x v="0"/>
    <x v="2"/>
    <s v="M"/>
    <x v="0"/>
    <n v="11.25"/>
    <n v="56.25"/>
    <s v="Arabica"/>
    <x v="0"/>
    <x v="1"/>
  </r>
  <r>
    <s v="BQK-38412-229"/>
    <x v="554"/>
    <s v="90392-73338-BC"/>
    <s v="R-L-0.2"/>
    <n v="3"/>
    <x v="681"/>
    <s v="nvigrasski@ezinearticles.com"/>
    <x v="2"/>
    <x v="0"/>
    <s v="L"/>
    <x v="3"/>
    <n v="3.5849999999999995"/>
    <n v="10.754999999999999"/>
    <s v="Robusta"/>
    <x v="1"/>
    <x v="1"/>
  </r>
  <r>
    <s v="TCX-76953-071"/>
    <x v="555"/>
    <s v="94091-86957-HX"/>
    <s v="E-D-0.2"/>
    <n v="5"/>
    <x v="636"/>
    <s v="jdymokeje@prnewswire.com"/>
    <x v="1"/>
    <x v="1"/>
    <s v="D"/>
    <x v="3"/>
    <n v="3.645"/>
    <n v="18.225000000000001"/>
    <s v="Excelsa"/>
    <x v="2"/>
    <x v="1"/>
  </r>
  <r>
    <s v="LIN-88046-551"/>
    <x v="150"/>
    <s v="10725-45724-CO"/>
    <s v="R-L-0.5"/>
    <n v="4"/>
    <x v="682"/>
    <s v="kcragellkk@google.com"/>
    <x v="1"/>
    <x v="0"/>
    <s v="L"/>
    <x v="1"/>
    <n v="7.169999999999999"/>
    <n v="28.679999999999996"/>
    <s v="Robusta"/>
    <x v="1"/>
    <x v="1"/>
  </r>
  <r>
    <s v="PMV-54491-220"/>
    <x v="556"/>
    <s v="87242-18006-IR"/>
    <s v="L-M-0.2"/>
    <n v="2"/>
    <x v="683"/>
    <s v="libertkl@huffingtonpost.com"/>
    <x v="0"/>
    <x v="3"/>
    <s v="M"/>
    <x v="3"/>
    <n v="4.3650000000000002"/>
    <n v="8.73"/>
    <s v="Liberica"/>
    <x v="0"/>
    <x v="1"/>
  </r>
  <r>
    <s v="SKA-73676-005"/>
    <x v="327"/>
    <s v="36572-91896-PP"/>
    <s v="L-M-1"/>
    <n v="4"/>
    <x v="684"/>
    <s v="rlidgeykm@vimeo.com"/>
    <x v="0"/>
    <x v="3"/>
    <s v="M"/>
    <x v="0"/>
    <n v="14.55"/>
    <n v="58.2"/>
    <s v="Liberica"/>
    <x v="0"/>
    <x v="1"/>
  </r>
  <r>
    <s v="TKH-62197-239"/>
    <x v="557"/>
    <s v="25181-97933-UX"/>
    <s v="A-D-0.5"/>
    <n v="3"/>
    <x v="685"/>
    <s v="tcastagnekn@wikia.com"/>
    <x v="0"/>
    <x v="2"/>
    <s v="D"/>
    <x v="1"/>
    <n v="5.97"/>
    <n v="17.91"/>
    <s v="Arabica"/>
    <x v="2"/>
    <x v="1"/>
  </r>
  <r>
    <s v="YXF-57218-272"/>
    <x v="333"/>
    <s v="55374-03175-IA"/>
    <s v="R-M-0.2"/>
    <n v="6"/>
    <x v="686"/>
    <s v=""/>
    <x v="0"/>
    <x v="0"/>
    <s v="M"/>
    <x v="3"/>
    <n v="2.9849999999999999"/>
    <n v="17.91"/>
    <s v="Robusta"/>
    <x v="0"/>
    <x v="0"/>
  </r>
  <r>
    <s v="PKJ-30083-501"/>
    <x v="558"/>
    <s v="76948-43532-JS"/>
    <s v="E-D-0.5"/>
    <n v="2"/>
    <x v="687"/>
    <s v="jhaldenkp@comcast.net"/>
    <x v="1"/>
    <x v="1"/>
    <s v="D"/>
    <x v="1"/>
    <n v="7.29"/>
    <n v="14.58"/>
    <s v="Excelsa"/>
    <x v="2"/>
    <x v="1"/>
  </r>
  <r>
    <s v="WTT-91832-645"/>
    <x v="559"/>
    <s v="24344-88599-PP"/>
    <s v="A-M-1"/>
    <n v="3"/>
    <x v="688"/>
    <s v="holliffkq@sciencedirect.com"/>
    <x v="1"/>
    <x v="2"/>
    <s v="M"/>
    <x v="0"/>
    <n v="11.25"/>
    <n v="33.75"/>
    <s v="Arabica"/>
    <x v="0"/>
    <x v="1"/>
  </r>
  <r>
    <s v="TRZ-94735-865"/>
    <x v="310"/>
    <s v="54462-58311-YF"/>
    <s v="L-M-0.5"/>
    <n v="4"/>
    <x v="689"/>
    <s v="tquadrikr@opensource.org"/>
    <x v="1"/>
    <x v="3"/>
    <s v="M"/>
    <x v="1"/>
    <n v="8.73"/>
    <n v="34.92"/>
    <s v="Liberica"/>
    <x v="0"/>
    <x v="0"/>
  </r>
  <r>
    <s v="UDB-09651-780"/>
    <x v="560"/>
    <s v="90767-92589-LV"/>
    <s v="E-D-0.5"/>
    <n v="2"/>
    <x v="690"/>
    <s v="feshmadeks@umn.edu"/>
    <x v="0"/>
    <x v="1"/>
    <s v="D"/>
    <x v="1"/>
    <n v="7.29"/>
    <n v="14.58"/>
    <s v="Excelsa"/>
    <x v="2"/>
    <x v="1"/>
  </r>
  <r>
    <s v="EHJ-82097-549"/>
    <x v="561"/>
    <s v="27517-43747-YD"/>
    <s v="R-D-0.2"/>
    <n v="2"/>
    <x v="691"/>
    <s v="moilierkt@paginegialle.it"/>
    <x v="1"/>
    <x v="0"/>
    <s v="D"/>
    <x v="3"/>
    <n v="2.6849999999999996"/>
    <n v="5.3699999999999992"/>
    <s v="Robusta"/>
    <x v="2"/>
    <x v="0"/>
  </r>
  <r>
    <s v="ZFR-79447-696"/>
    <x v="562"/>
    <s v="77828-66867-KH"/>
    <s v="R-M-0.5"/>
    <n v="1"/>
    <x v="692"/>
    <s v=""/>
    <x v="0"/>
    <x v="0"/>
    <s v="M"/>
    <x v="1"/>
    <n v="5.97"/>
    <n v="5.97"/>
    <s v="Robusta"/>
    <x v="0"/>
    <x v="0"/>
  </r>
  <r>
    <s v="NUU-03893-975"/>
    <x v="563"/>
    <s v="41054-59693-XE"/>
    <s v="L-L-0.5"/>
    <n v="2"/>
    <x v="693"/>
    <s v="vshoebothamkv@redcross.org"/>
    <x v="0"/>
    <x v="3"/>
    <s v="L"/>
    <x v="1"/>
    <n v="9.51"/>
    <n v="19.02"/>
    <s v="Liberica"/>
    <x v="1"/>
    <x v="1"/>
  </r>
  <r>
    <s v="GVG-59542-307"/>
    <x v="564"/>
    <s v="26314-66792-VP"/>
    <s v="E-M-1"/>
    <n v="2"/>
    <x v="694"/>
    <s v="bsterkekw@biblegateway.com"/>
    <x v="0"/>
    <x v="1"/>
    <s v="M"/>
    <x v="0"/>
    <n v="13.75"/>
    <n v="27.5"/>
    <s v="Excelsa"/>
    <x v="0"/>
    <x v="0"/>
  </r>
  <r>
    <s v="YLY-35287-172"/>
    <x v="565"/>
    <s v="69410-04668-MA"/>
    <s v="A-D-0.5"/>
    <n v="5"/>
    <x v="695"/>
    <s v="scaponkx@craigslist.org"/>
    <x v="0"/>
    <x v="2"/>
    <s v="D"/>
    <x v="1"/>
    <n v="5.97"/>
    <n v="29.849999999999998"/>
    <s v="Arabica"/>
    <x v="2"/>
    <x v="1"/>
  </r>
  <r>
    <s v="DCI-96254-548"/>
    <x v="566"/>
    <s v="94091-86957-HX"/>
    <s v="A-D-0.2"/>
    <n v="6"/>
    <x v="636"/>
    <s v="jdymokeje@prnewswire.com"/>
    <x v="1"/>
    <x v="2"/>
    <s v="D"/>
    <x v="3"/>
    <n v="2.9849999999999999"/>
    <n v="17.91"/>
    <s v="Arabica"/>
    <x v="2"/>
    <x v="1"/>
  </r>
  <r>
    <s v="KHZ-26264-253"/>
    <x v="160"/>
    <s v="24972-55878-KX"/>
    <s v="L-L-0.2"/>
    <n v="6"/>
    <x v="696"/>
    <s v="fconstancekz@ifeng.com"/>
    <x v="0"/>
    <x v="3"/>
    <s v="L"/>
    <x v="3"/>
    <n v="4.7549999999999999"/>
    <n v="28.53"/>
    <s v="Liberica"/>
    <x v="1"/>
    <x v="1"/>
  </r>
  <r>
    <s v="AAQ-13644-699"/>
    <x v="567"/>
    <s v="46296-42617-OQ"/>
    <s v="R-D-1"/>
    <n v="4"/>
    <x v="697"/>
    <s v="fsulmanl0@washington.edu"/>
    <x v="0"/>
    <x v="0"/>
    <s v="D"/>
    <x v="0"/>
    <n v="8.9499999999999993"/>
    <n v="35.799999999999997"/>
    <s v="Robusta"/>
    <x v="2"/>
    <x v="0"/>
  </r>
  <r>
    <s v="LWL-68108-794"/>
    <x v="568"/>
    <s v="44494-89923-UW"/>
    <s v="A-D-0.5"/>
    <n v="3"/>
    <x v="698"/>
    <s v="dhollymanl1@ibm.com"/>
    <x v="0"/>
    <x v="2"/>
    <s v="D"/>
    <x v="1"/>
    <n v="5.97"/>
    <n v="17.91"/>
    <s v="Arabica"/>
    <x v="2"/>
    <x v="0"/>
  </r>
  <r>
    <s v="JQT-14347-517"/>
    <x v="569"/>
    <s v="11621-09964-ID"/>
    <s v="R-D-1"/>
    <n v="1"/>
    <x v="699"/>
    <s v="lnardonil2@hao123.com"/>
    <x v="0"/>
    <x v="0"/>
    <s v="D"/>
    <x v="0"/>
    <n v="8.9499999999999993"/>
    <n v="8.9499999999999993"/>
    <s v="Robusta"/>
    <x v="2"/>
    <x v="1"/>
  </r>
  <r>
    <s v="BMM-86471-923"/>
    <x v="570"/>
    <s v="76319-80715-II"/>
    <s v="L-D-2.5"/>
    <n v="1"/>
    <x v="700"/>
    <s v="dyarhaml3@moonfruit.com"/>
    <x v="0"/>
    <x v="3"/>
    <s v="D"/>
    <x v="2"/>
    <n v="29.784999999999997"/>
    <n v="29.784999999999997"/>
    <s v="Liberica"/>
    <x v="2"/>
    <x v="0"/>
  </r>
  <r>
    <s v="IXU-67272-326"/>
    <x v="571"/>
    <s v="91654-79216-IC"/>
    <s v="E-L-0.5"/>
    <n v="5"/>
    <x v="701"/>
    <s v="aferreal4@wikia.com"/>
    <x v="0"/>
    <x v="1"/>
    <s v="L"/>
    <x v="1"/>
    <n v="8.91"/>
    <n v="44.55"/>
    <s v="Excelsa"/>
    <x v="1"/>
    <x v="1"/>
  </r>
  <r>
    <s v="ITE-28312-615"/>
    <x v="139"/>
    <s v="56450-21890-HK"/>
    <s v="E-L-1"/>
    <n v="6"/>
    <x v="702"/>
    <s v="ckendrickl5@webnode.com"/>
    <x v="0"/>
    <x v="1"/>
    <s v="L"/>
    <x v="0"/>
    <n v="14.85"/>
    <n v="89.1"/>
    <s v="Excelsa"/>
    <x v="1"/>
    <x v="0"/>
  </r>
  <r>
    <s v="ZHQ-30471-635"/>
    <x v="303"/>
    <s v="40600-58915-WZ"/>
    <s v="L-M-0.5"/>
    <n v="5"/>
    <x v="703"/>
    <s v="sdanilchikl6@mit.edu"/>
    <x v="2"/>
    <x v="3"/>
    <s v="M"/>
    <x v="1"/>
    <n v="8.73"/>
    <n v="43.650000000000006"/>
    <s v="Liberica"/>
    <x v="0"/>
    <x v="1"/>
  </r>
  <r>
    <s v="LTP-31133-134"/>
    <x v="572"/>
    <s v="66527-94478-PB"/>
    <s v="A-L-0.5"/>
    <n v="3"/>
    <x v="704"/>
    <s v=""/>
    <x v="0"/>
    <x v="2"/>
    <s v="L"/>
    <x v="1"/>
    <n v="7.77"/>
    <n v="23.31"/>
    <s v="Arabica"/>
    <x v="1"/>
    <x v="1"/>
  </r>
  <r>
    <s v="ZVQ-26122-859"/>
    <x v="573"/>
    <s v="77154-45038-IH"/>
    <s v="A-L-2.5"/>
    <n v="6"/>
    <x v="705"/>
    <s v="bfolomkinl8@yolasite.com"/>
    <x v="0"/>
    <x v="2"/>
    <s v="L"/>
    <x v="2"/>
    <n v="29.784999999999997"/>
    <n v="178.70999999999998"/>
    <s v="Arabica"/>
    <x v="1"/>
    <x v="0"/>
  </r>
  <r>
    <s v="MIU-01481-194"/>
    <x v="574"/>
    <s v="08439-55669-AI"/>
    <s v="R-M-1"/>
    <n v="6"/>
    <x v="706"/>
    <s v="rpursglovel9@biblegateway.com"/>
    <x v="0"/>
    <x v="0"/>
    <s v="M"/>
    <x v="0"/>
    <n v="9.9499999999999993"/>
    <n v="59.699999999999996"/>
    <s v="Robusta"/>
    <x v="0"/>
    <x v="0"/>
  </r>
  <r>
    <s v="MIU-01481-194"/>
    <x v="574"/>
    <s v="08439-55669-AI"/>
    <s v="A-L-0.5"/>
    <n v="2"/>
    <x v="706"/>
    <s v="rpursglovel9@biblegateway.com"/>
    <x v="0"/>
    <x v="2"/>
    <s v="L"/>
    <x v="1"/>
    <n v="7.77"/>
    <n v="15.54"/>
    <s v="Arabica"/>
    <x v="1"/>
    <x v="0"/>
  </r>
  <r>
    <s v="UEA-72681-629"/>
    <x v="455"/>
    <s v="24972-55878-KX"/>
    <s v="A-L-2.5"/>
    <n v="3"/>
    <x v="696"/>
    <s v="fconstancekz@ifeng.com"/>
    <x v="0"/>
    <x v="2"/>
    <s v="L"/>
    <x v="2"/>
    <n v="29.784999999999997"/>
    <n v="89.35499999999999"/>
    <s v="Arabica"/>
    <x v="1"/>
    <x v="1"/>
  </r>
  <r>
    <s v="CVE-15042-481"/>
    <x v="575"/>
    <s v="24972-55878-KX"/>
    <s v="R-L-1"/>
    <n v="2"/>
    <x v="696"/>
    <s v="fconstancekz@ifeng.com"/>
    <x v="0"/>
    <x v="0"/>
    <s v="L"/>
    <x v="0"/>
    <n v="11.95"/>
    <n v="23.9"/>
    <s v="Robusta"/>
    <x v="1"/>
    <x v="1"/>
  </r>
  <r>
    <s v="EJA-79176-833"/>
    <x v="576"/>
    <s v="91509-62250-GN"/>
    <s v="R-M-2.5"/>
    <n v="6"/>
    <x v="707"/>
    <s v="deburahld@google.co.jp"/>
    <x v="2"/>
    <x v="0"/>
    <s v="M"/>
    <x v="2"/>
    <n v="22.884999999999998"/>
    <n v="137.31"/>
    <s v="Robusta"/>
    <x v="0"/>
    <x v="1"/>
  </r>
  <r>
    <s v="AHQ-40440-522"/>
    <x v="577"/>
    <s v="83833-46106-ZC"/>
    <s v="A-D-1"/>
    <n v="1"/>
    <x v="708"/>
    <s v="mbrimilcombele@cnn.com"/>
    <x v="0"/>
    <x v="2"/>
    <s v="D"/>
    <x v="0"/>
    <n v="9.9499999999999993"/>
    <n v="9.9499999999999993"/>
    <s v="Arabica"/>
    <x v="2"/>
    <x v="1"/>
  </r>
  <r>
    <s v="TID-21626-411"/>
    <x v="578"/>
    <s v="19383-33606-PW"/>
    <s v="R-L-0.5"/>
    <n v="3"/>
    <x v="709"/>
    <s v="sbollamlf@list-manage.com"/>
    <x v="0"/>
    <x v="0"/>
    <s v="L"/>
    <x v="1"/>
    <n v="7.169999999999999"/>
    <n v="21.509999999999998"/>
    <s v="Robusta"/>
    <x v="1"/>
    <x v="1"/>
  </r>
  <r>
    <s v="RSR-96390-187"/>
    <x v="579"/>
    <s v="67052-76184-CB"/>
    <s v="E-M-1"/>
    <n v="6"/>
    <x v="710"/>
    <s v=""/>
    <x v="0"/>
    <x v="1"/>
    <s v="M"/>
    <x v="0"/>
    <n v="13.75"/>
    <n v="82.5"/>
    <s v="Excelsa"/>
    <x v="0"/>
    <x v="1"/>
  </r>
  <r>
    <s v="BZE-96093-118"/>
    <x v="91"/>
    <s v="43452-18035-DH"/>
    <s v="L-M-0.2"/>
    <n v="2"/>
    <x v="711"/>
    <s v="afilipczaklh@ning.com"/>
    <x v="1"/>
    <x v="3"/>
    <s v="M"/>
    <x v="3"/>
    <n v="4.3650000000000002"/>
    <n v="8.73"/>
    <s v="Liberica"/>
    <x v="0"/>
    <x v="1"/>
  </r>
  <r>
    <s v="LOU-41819-242"/>
    <x v="272"/>
    <s v="88060-50676-MV"/>
    <s v="R-M-1"/>
    <n v="2"/>
    <x v="712"/>
    <s v=""/>
    <x v="0"/>
    <x v="0"/>
    <s v="M"/>
    <x v="0"/>
    <n v="9.9499999999999993"/>
    <n v="19.899999999999999"/>
    <s v="Robusta"/>
    <x v="0"/>
    <x v="0"/>
  </r>
  <r>
    <s v="FND-99527-640"/>
    <x v="65"/>
    <s v="89574-96203-EP"/>
    <s v="E-L-0.5"/>
    <n v="2"/>
    <x v="713"/>
    <s v="relnaughlj@comsenz.com"/>
    <x v="0"/>
    <x v="1"/>
    <s v="L"/>
    <x v="1"/>
    <n v="8.91"/>
    <n v="17.82"/>
    <s v="Excelsa"/>
    <x v="1"/>
    <x v="0"/>
  </r>
  <r>
    <s v="ASG-27179-958"/>
    <x v="580"/>
    <s v="12607-75113-UV"/>
    <s v="A-M-0.5"/>
    <n v="3"/>
    <x v="714"/>
    <s v="jdeehanlk@about.me"/>
    <x v="0"/>
    <x v="2"/>
    <s v="M"/>
    <x v="1"/>
    <n v="6.75"/>
    <n v="20.25"/>
    <s v="Arabica"/>
    <x v="0"/>
    <x v="1"/>
  </r>
  <r>
    <s v="YKX-23510-272"/>
    <x v="581"/>
    <s v="56991-05510-PR"/>
    <s v="A-L-2.5"/>
    <n v="2"/>
    <x v="715"/>
    <s v="jedenll@e-recht24.de"/>
    <x v="0"/>
    <x v="2"/>
    <s v="L"/>
    <x v="2"/>
    <n v="29.784999999999997"/>
    <n v="59.569999999999993"/>
    <s v="Arabica"/>
    <x v="1"/>
    <x v="1"/>
  </r>
  <r>
    <s v="FSA-98650-921"/>
    <x v="489"/>
    <s v="01841-48191-NL"/>
    <s v="L-L-0.5"/>
    <n v="2"/>
    <x v="716"/>
    <s v="cjewsterlu@moonfruit.com"/>
    <x v="0"/>
    <x v="3"/>
    <s v="L"/>
    <x v="1"/>
    <n v="9.51"/>
    <n v="19.02"/>
    <s v="Liberica"/>
    <x v="1"/>
    <x v="0"/>
  </r>
  <r>
    <s v="ZUR-55774-294"/>
    <x v="234"/>
    <s v="33269-10023-CO"/>
    <s v="L-D-1"/>
    <n v="6"/>
    <x v="717"/>
    <s v="usoutherdenln@hao123.com"/>
    <x v="0"/>
    <x v="3"/>
    <s v="D"/>
    <x v="0"/>
    <n v="12.95"/>
    <n v="77.699999999999989"/>
    <s v="Liberica"/>
    <x v="2"/>
    <x v="0"/>
  </r>
  <r>
    <s v="FUO-99821-974"/>
    <x v="175"/>
    <s v="31245-81098-PJ"/>
    <s v="E-M-1"/>
    <n v="3"/>
    <x v="718"/>
    <s v=""/>
    <x v="0"/>
    <x v="1"/>
    <s v="M"/>
    <x v="0"/>
    <n v="13.75"/>
    <n v="41.25"/>
    <s v="Excelsa"/>
    <x v="0"/>
    <x v="1"/>
  </r>
  <r>
    <s v="YVH-19865-819"/>
    <x v="582"/>
    <s v="08946-56610-IH"/>
    <s v="L-L-2.5"/>
    <n v="4"/>
    <x v="719"/>
    <s v="lburtenshawlp@shinystat.com"/>
    <x v="0"/>
    <x v="3"/>
    <s v="L"/>
    <x v="2"/>
    <n v="36.454999999999998"/>
    <n v="145.82"/>
    <s v="Liberica"/>
    <x v="1"/>
    <x v="1"/>
  </r>
  <r>
    <s v="NNF-47422-501"/>
    <x v="583"/>
    <s v="20260-32948-EB"/>
    <s v="E-L-0.2"/>
    <n v="6"/>
    <x v="720"/>
    <s v="agregorattilq@vistaprint.com"/>
    <x v="1"/>
    <x v="1"/>
    <s v="L"/>
    <x v="3"/>
    <n v="4.4550000000000001"/>
    <n v="26.73"/>
    <s v="Excelsa"/>
    <x v="1"/>
    <x v="1"/>
  </r>
  <r>
    <s v="RJI-71409-490"/>
    <x v="548"/>
    <s v="31613-41626-KX"/>
    <s v="L-M-0.5"/>
    <n v="5"/>
    <x v="721"/>
    <s v="ccrosterlr@gov.uk"/>
    <x v="0"/>
    <x v="3"/>
    <s v="M"/>
    <x v="1"/>
    <n v="8.73"/>
    <n v="43.650000000000006"/>
    <s v="Liberica"/>
    <x v="0"/>
    <x v="0"/>
  </r>
  <r>
    <s v="UZL-46108-213"/>
    <x v="584"/>
    <s v="75961-20170-RD"/>
    <s v="L-L-1"/>
    <n v="2"/>
    <x v="722"/>
    <s v="gwhiteheadls@hp.com"/>
    <x v="0"/>
    <x v="3"/>
    <s v="L"/>
    <x v="0"/>
    <n v="15.85"/>
    <n v="31.7"/>
    <s v="Liberica"/>
    <x v="1"/>
    <x v="1"/>
  </r>
  <r>
    <s v="AOX-44467-109"/>
    <x v="64"/>
    <s v="72524-06410-KD"/>
    <s v="A-D-2.5"/>
    <n v="1"/>
    <x v="723"/>
    <s v="hjodrellelt@samsung.com"/>
    <x v="0"/>
    <x v="2"/>
    <s v="D"/>
    <x v="2"/>
    <n v="22.884999999999998"/>
    <n v="22.884999999999998"/>
    <s v="Arabica"/>
    <x v="2"/>
    <x v="1"/>
  </r>
  <r>
    <s v="TZD-67261-174"/>
    <x v="585"/>
    <s v="01841-48191-NL"/>
    <s v="E-D-2.5"/>
    <n v="1"/>
    <x v="716"/>
    <s v="cjewsterlu@moonfruit.com"/>
    <x v="0"/>
    <x v="1"/>
    <s v="D"/>
    <x v="2"/>
    <n v="27.945"/>
    <n v="27.945"/>
    <s v="Excelsa"/>
    <x v="2"/>
    <x v="0"/>
  </r>
  <r>
    <s v="TBU-64277-625"/>
    <x v="32"/>
    <s v="98918-34330-GY"/>
    <s v="E-M-1"/>
    <n v="6"/>
    <x v="724"/>
    <s v=""/>
    <x v="0"/>
    <x v="1"/>
    <s v="M"/>
    <x v="0"/>
    <n v="13.75"/>
    <n v="82.5"/>
    <s v="Excelsa"/>
    <x v="0"/>
    <x v="0"/>
  </r>
  <r>
    <s v="TYP-85767-944"/>
    <x v="586"/>
    <s v="51497-50894-WU"/>
    <s v="R-M-2.5"/>
    <n v="2"/>
    <x v="725"/>
    <s v="knottramlw@odnoklassniki.ru"/>
    <x v="1"/>
    <x v="0"/>
    <s v="M"/>
    <x v="2"/>
    <n v="22.884999999999998"/>
    <n v="45.769999999999996"/>
    <s v="Robusta"/>
    <x v="0"/>
    <x v="0"/>
  </r>
  <r>
    <s v="GTT-73214-334"/>
    <x v="535"/>
    <s v="98636-90072-YE"/>
    <s v="A-L-1"/>
    <n v="6"/>
    <x v="726"/>
    <s v="nbuneylx@jugem.jp"/>
    <x v="0"/>
    <x v="2"/>
    <s v="L"/>
    <x v="0"/>
    <n v="12.95"/>
    <n v="77.699999999999989"/>
    <s v="Arabica"/>
    <x v="1"/>
    <x v="1"/>
  </r>
  <r>
    <s v="WAI-89905-069"/>
    <x v="587"/>
    <s v="47011-57815-HJ"/>
    <s v="A-L-0.5"/>
    <n v="3"/>
    <x v="727"/>
    <s v="smcshealy@photobucket.com"/>
    <x v="0"/>
    <x v="2"/>
    <s v="L"/>
    <x v="1"/>
    <n v="7.77"/>
    <n v="23.31"/>
    <s v="Arabica"/>
    <x v="1"/>
    <x v="1"/>
  </r>
  <r>
    <s v="OJL-96844-459"/>
    <x v="393"/>
    <s v="61253-98356-VD"/>
    <s v="L-L-0.2"/>
    <n v="5"/>
    <x v="728"/>
    <s v="khuddartlz@about.com"/>
    <x v="0"/>
    <x v="3"/>
    <s v="L"/>
    <x v="3"/>
    <n v="4.7549999999999999"/>
    <n v="23.774999999999999"/>
    <s v="Liberica"/>
    <x v="1"/>
    <x v="0"/>
  </r>
  <r>
    <s v="VGI-33205-360"/>
    <x v="588"/>
    <s v="96762-10814-DA"/>
    <s v="L-M-0.5"/>
    <n v="6"/>
    <x v="729"/>
    <s v="jgippesm0@cloudflare.com"/>
    <x v="2"/>
    <x v="3"/>
    <s v="M"/>
    <x v="1"/>
    <n v="8.73"/>
    <n v="52.38"/>
    <s v="Liberica"/>
    <x v="0"/>
    <x v="0"/>
  </r>
  <r>
    <s v="PCA-14081-576"/>
    <x v="15"/>
    <s v="63112-10870-LC"/>
    <s v="R-L-0.2"/>
    <n v="5"/>
    <x v="730"/>
    <s v="lwhittleseem1@e-recht24.de"/>
    <x v="0"/>
    <x v="0"/>
    <s v="L"/>
    <x v="3"/>
    <n v="3.5849999999999995"/>
    <n v="17.924999999999997"/>
    <s v="Robusta"/>
    <x v="1"/>
    <x v="1"/>
  </r>
  <r>
    <s v="SCS-67069-962"/>
    <x v="507"/>
    <s v="21403-49423-PD"/>
    <s v="A-L-2.5"/>
    <n v="5"/>
    <x v="731"/>
    <s v="gtrengrovem2@elpais.com"/>
    <x v="0"/>
    <x v="2"/>
    <s v="L"/>
    <x v="2"/>
    <n v="29.784999999999997"/>
    <n v="148.92499999999998"/>
    <s v="Arabica"/>
    <x v="1"/>
    <x v="1"/>
  </r>
  <r>
    <s v="BDM-03174-485"/>
    <x v="533"/>
    <s v="29581-13303-VB"/>
    <s v="R-L-0.5"/>
    <n v="4"/>
    <x v="732"/>
    <s v="wcalderom3@stumbleupon.com"/>
    <x v="0"/>
    <x v="0"/>
    <s v="L"/>
    <x v="1"/>
    <n v="7.169999999999999"/>
    <n v="28.679999999999996"/>
    <s v="Robusta"/>
    <x v="1"/>
    <x v="1"/>
  </r>
  <r>
    <s v="UJV-32333-364"/>
    <x v="589"/>
    <s v="86110-83695-YS"/>
    <s v="L-L-0.5"/>
    <n v="1"/>
    <x v="733"/>
    <s v=""/>
    <x v="0"/>
    <x v="3"/>
    <s v="L"/>
    <x v="1"/>
    <n v="9.51"/>
    <n v="9.51"/>
    <s v="Liberica"/>
    <x v="1"/>
    <x v="1"/>
  </r>
  <r>
    <s v="FLI-11493-954"/>
    <x v="590"/>
    <s v="80454-42225-FT"/>
    <s v="A-L-0.5"/>
    <n v="4"/>
    <x v="734"/>
    <s v="jkennicottm5@yahoo.co.jp"/>
    <x v="0"/>
    <x v="2"/>
    <s v="L"/>
    <x v="1"/>
    <n v="7.77"/>
    <n v="31.08"/>
    <s v="Arabica"/>
    <x v="1"/>
    <x v="1"/>
  </r>
  <r>
    <s v="IWL-13117-537"/>
    <x v="457"/>
    <s v="29129-60664-KO"/>
    <s v="R-D-0.2"/>
    <n v="3"/>
    <x v="735"/>
    <s v="gruggenm6@nymag.com"/>
    <x v="0"/>
    <x v="0"/>
    <s v="D"/>
    <x v="3"/>
    <n v="2.6849999999999996"/>
    <n v="8.0549999999999997"/>
    <s v="Robusta"/>
    <x v="2"/>
    <x v="0"/>
  </r>
  <r>
    <s v="OAM-76916-748"/>
    <x v="591"/>
    <s v="63025-62939-AN"/>
    <s v="E-D-1"/>
    <n v="3"/>
    <x v="736"/>
    <s v=""/>
    <x v="0"/>
    <x v="1"/>
    <s v="D"/>
    <x v="0"/>
    <n v="12.15"/>
    <n v="36.450000000000003"/>
    <s v="Excelsa"/>
    <x v="2"/>
    <x v="0"/>
  </r>
  <r>
    <s v="UMB-11223-710"/>
    <x v="592"/>
    <s v="49012-12987-QT"/>
    <s v="R-D-0.2"/>
    <n v="6"/>
    <x v="737"/>
    <s v="mfrightm8@harvard.edu"/>
    <x v="1"/>
    <x v="0"/>
    <s v="D"/>
    <x v="3"/>
    <n v="2.6849999999999996"/>
    <n v="16.11"/>
    <s v="Robusta"/>
    <x v="2"/>
    <x v="1"/>
  </r>
  <r>
    <s v="LXR-09892-726"/>
    <x v="402"/>
    <s v="50924-94200-SQ"/>
    <s v="R-D-2.5"/>
    <n v="2"/>
    <x v="738"/>
    <s v="btartem9@aol.com"/>
    <x v="0"/>
    <x v="0"/>
    <s v="D"/>
    <x v="2"/>
    <n v="20.584999999999997"/>
    <n v="41.169999999999995"/>
    <s v="Robusta"/>
    <x v="2"/>
    <x v="0"/>
  </r>
  <r>
    <s v="QXX-89943-393"/>
    <x v="593"/>
    <s v="15673-18812-IU"/>
    <s v="R-D-0.2"/>
    <n v="4"/>
    <x v="739"/>
    <s v="ckrzysztofiakma@skyrock.com"/>
    <x v="0"/>
    <x v="0"/>
    <s v="D"/>
    <x v="3"/>
    <n v="2.6849999999999996"/>
    <n v="10.739999999999998"/>
    <s v="Robusta"/>
    <x v="2"/>
    <x v="1"/>
  </r>
  <r>
    <s v="WVS-57822-366"/>
    <x v="594"/>
    <s v="52151-75971-YY"/>
    <s v="E-M-2.5"/>
    <n v="4"/>
    <x v="740"/>
    <s v="dpenquetmb@diigo.com"/>
    <x v="0"/>
    <x v="1"/>
    <s v="M"/>
    <x v="2"/>
    <n v="31.624999999999996"/>
    <n v="126.49999999999999"/>
    <s v="Excelsa"/>
    <x v="0"/>
    <x v="1"/>
  </r>
  <r>
    <s v="CLJ-23403-689"/>
    <x v="77"/>
    <s v="19413-02045-CG"/>
    <s v="R-L-1"/>
    <n v="2"/>
    <x v="741"/>
    <s v=""/>
    <x v="2"/>
    <x v="0"/>
    <s v="L"/>
    <x v="0"/>
    <n v="11.95"/>
    <n v="23.9"/>
    <s v="Robusta"/>
    <x v="1"/>
    <x v="1"/>
  </r>
  <r>
    <s v="XNU-83276-288"/>
    <x v="595"/>
    <s v="98185-92775-KT"/>
    <s v="R-M-0.5"/>
    <n v="1"/>
    <x v="742"/>
    <s v=""/>
    <x v="0"/>
    <x v="0"/>
    <s v="M"/>
    <x v="1"/>
    <n v="5.97"/>
    <n v="5.97"/>
    <s v="Robusta"/>
    <x v="0"/>
    <x v="1"/>
  </r>
  <r>
    <s v="YOG-94666-679"/>
    <x v="596"/>
    <s v="86991-53901-AT"/>
    <s v="L-D-0.2"/>
    <n v="2"/>
    <x v="743"/>
    <s v=""/>
    <x v="2"/>
    <x v="3"/>
    <s v="D"/>
    <x v="3"/>
    <n v="3.8849999999999998"/>
    <n v="7.77"/>
    <s v="Liberica"/>
    <x v="2"/>
    <x v="0"/>
  </r>
  <r>
    <s v="KHG-33953-115"/>
    <x v="514"/>
    <s v="78226-97287-JI"/>
    <s v="L-D-0.5"/>
    <n v="3"/>
    <x v="744"/>
    <s v="kferrettimf@huffingtonpost.com"/>
    <x v="1"/>
    <x v="3"/>
    <s v="D"/>
    <x v="1"/>
    <n v="7.77"/>
    <n v="23.31"/>
    <s v="Liberica"/>
    <x v="2"/>
    <x v="1"/>
  </r>
  <r>
    <s v="MHD-95615-696"/>
    <x v="54"/>
    <s v="27930-59250-JT"/>
    <s v="R-L-2.5"/>
    <n v="5"/>
    <x v="745"/>
    <s v=""/>
    <x v="0"/>
    <x v="0"/>
    <s v="L"/>
    <x v="2"/>
    <n v="27.484999999999996"/>
    <n v="137.42499999999998"/>
    <s v="Robusta"/>
    <x v="1"/>
    <x v="1"/>
  </r>
  <r>
    <s v="HBH-64794-080"/>
    <x v="597"/>
    <s v="40560-18556-YE"/>
    <s v="R-D-0.2"/>
    <n v="3"/>
    <x v="746"/>
    <s v=""/>
    <x v="0"/>
    <x v="0"/>
    <s v="D"/>
    <x v="3"/>
    <n v="2.6849999999999996"/>
    <n v="8.0549999999999997"/>
    <s v="Robusta"/>
    <x v="2"/>
    <x v="0"/>
  </r>
  <r>
    <s v="CNJ-56058-223"/>
    <x v="105"/>
    <s v="40780-22081-LX"/>
    <s v="L-L-0.5"/>
    <n v="3"/>
    <x v="747"/>
    <s v="abalsdonemi@toplist.cz"/>
    <x v="0"/>
    <x v="3"/>
    <s v="L"/>
    <x v="1"/>
    <n v="9.51"/>
    <n v="28.53"/>
    <s v="Liberica"/>
    <x v="1"/>
    <x v="1"/>
  </r>
  <r>
    <s v="KHO-27106-786"/>
    <x v="210"/>
    <s v="01603-43789-TN"/>
    <s v="A-M-1"/>
    <n v="6"/>
    <x v="748"/>
    <s v="bromeramj@list-manage.com"/>
    <x v="1"/>
    <x v="2"/>
    <s v="M"/>
    <x v="0"/>
    <n v="11.25"/>
    <n v="67.5"/>
    <s v="Arabica"/>
    <x v="0"/>
    <x v="0"/>
  </r>
  <r>
    <s v="KHO-27106-786"/>
    <x v="210"/>
    <s v="01603-43789-TN"/>
    <s v="L-D-2.5"/>
    <n v="6"/>
    <x v="748"/>
    <s v="bromeramj@list-manage.com"/>
    <x v="1"/>
    <x v="3"/>
    <s v="D"/>
    <x v="2"/>
    <n v="29.784999999999997"/>
    <n v="178.70999999999998"/>
    <s v="Liberica"/>
    <x v="2"/>
    <x v="0"/>
  </r>
  <r>
    <s v="YAC-50329-982"/>
    <x v="598"/>
    <s v="75419-92838-TI"/>
    <s v="E-M-2.5"/>
    <n v="1"/>
    <x v="749"/>
    <s v="cbrydeml@tuttocitta.it"/>
    <x v="0"/>
    <x v="1"/>
    <s v="M"/>
    <x v="2"/>
    <n v="31.624999999999996"/>
    <n v="31.624999999999996"/>
    <s v="Excelsa"/>
    <x v="0"/>
    <x v="0"/>
  </r>
  <r>
    <s v="VVL-95291-039"/>
    <x v="360"/>
    <s v="96516-97464-MF"/>
    <s v="E-L-0.2"/>
    <n v="2"/>
    <x v="750"/>
    <s v="senefermm@blog.com"/>
    <x v="0"/>
    <x v="1"/>
    <s v="L"/>
    <x v="3"/>
    <n v="4.4550000000000001"/>
    <n v="8.91"/>
    <s v="Excelsa"/>
    <x v="1"/>
    <x v="1"/>
  </r>
  <r>
    <s v="VUT-20974-364"/>
    <x v="62"/>
    <s v="90285-56295-PO"/>
    <s v="R-M-0.5"/>
    <n v="6"/>
    <x v="751"/>
    <s v="lhaggerstonemn@independent.co.uk"/>
    <x v="0"/>
    <x v="0"/>
    <s v="M"/>
    <x v="1"/>
    <n v="5.97"/>
    <n v="35.82"/>
    <s v="Robusta"/>
    <x v="0"/>
    <x v="1"/>
  </r>
  <r>
    <s v="SFC-34054-213"/>
    <x v="599"/>
    <s v="08100-71102-HQ"/>
    <s v="L-L-0.5"/>
    <n v="4"/>
    <x v="752"/>
    <s v="mgundrymo@omniture.com"/>
    <x v="1"/>
    <x v="3"/>
    <s v="L"/>
    <x v="1"/>
    <n v="9.51"/>
    <n v="38.04"/>
    <s v="Liberica"/>
    <x v="1"/>
    <x v="1"/>
  </r>
  <r>
    <s v="UDS-04807-593"/>
    <x v="600"/>
    <s v="84074-28110-OV"/>
    <s v="L-D-0.5"/>
    <n v="2"/>
    <x v="753"/>
    <s v="bwellanmp@cafepress.com"/>
    <x v="0"/>
    <x v="3"/>
    <s v="D"/>
    <x v="1"/>
    <n v="7.77"/>
    <n v="15.54"/>
    <s v="Liberica"/>
    <x v="2"/>
    <x v="1"/>
  </r>
  <r>
    <s v="FWE-98471-488"/>
    <x v="601"/>
    <s v="27930-59250-JT"/>
    <s v="L-L-1"/>
    <n v="5"/>
    <x v="745"/>
    <s v=""/>
    <x v="0"/>
    <x v="3"/>
    <s v="L"/>
    <x v="0"/>
    <n v="15.85"/>
    <n v="79.25"/>
    <s v="Liberica"/>
    <x v="1"/>
    <x v="1"/>
  </r>
  <r>
    <s v="RAU-17060-674"/>
    <x v="602"/>
    <s v="12747-63766-EU"/>
    <s v="L-L-0.2"/>
    <n v="1"/>
    <x v="754"/>
    <s v="catchesonmr@xinhuanet.com"/>
    <x v="0"/>
    <x v="3"/>
    <s v="L"/>
    <x v="3"/>
    <n v="4.7549999999999999"/>
    <n v="4.7549999999999999"/>
    <s v="Liberica"/>
    <x v="1"/>
    <x v="0"/>
  </r>
  <r>
    <s v="AOL-13866-711"/>
    <x v="603"/>
    <s v="83490-88357-LJ"/>
    <s v="E-M-1"/>
    <n v="4"/>
    <x v="755"/>
    <s v="estentonms@google.it"/>
    <x v="0"/>
    <x v="1"/>
    <s v="M"/>
    <x v="0"/>
    <n v="13.75"/>
    <n v="55"/>
    <s v="Excelsa"/>
    <x v="0"/>
    <x v="0"/>
  </r>
  <r>
    <s v="NOA-79645-377"/>
    <x v="604"/>
    <s v="53729-30320-XZ"/>
    <s v="R-D-0.5"/>
    <n v="5"/>
    <x v="756"/>
    <s v="etrippmt@wp.com"/>
    <x v="0"/>
    <x v="0"/>
    <s v="D"/>
    <x v="1"/>
    <n v="5.3699999999999992"/>
    <n v="26.849999999999994"/>
    <s v="Robusta"/>
    <x v="2"/>
    <x v="1"/>
  </r>
  <r>
    <s v="KMS-49214-806"/>
    <x v="605"/>
    <s v="50384-52703-LA"/>
    <s v="E-L-2.5"/>
    <n v="4"/>
    <x v="757"/>
    <s v="lmacmanusmu@imdb.com"/>
    <x v="0"/>
    <x v="1"/>
    <s v="L"/>
    <x v="2"/>
    <n v="34.154999999999994"/>
    <n v="136.61999999999998"/>
    <s v="Excelsa"/>
    <x v="1"/>
    <x v="1"/>
  </r>
  <r>
    <s v="ABK-08091-531"/>
    <x v="606"/>
    <s v="53864-36201-FG"/>
    <s v="L-L-1"/>
    <n v="3"/>
    <x v="758"/>
    <s v="tbenediktovichmv@ebay.com"/>
    <x v="0"/>
    <x v="3"/>
    <s v="L"/>
    <x v="0"/>
    <n v="15.85"/>
    <n v="47.55"/>
    <s v="Liberica"/>
    <x v="1"/>
    <x v="0"/>
  </r>
  <r>
    <s v="GPT-67705-953"/>
    <x v="446"/>
    <s v="70631-33225-MZ"/>
    <s v="A-M-0.2"/>
    <n v="5"/>
    <x v="759"/>
    <s v="cbournermw@chronoengine.com"/>
    <x v="0"/>
    <x v="2"/>
    <s v="M"/>
    <x v="3"/>
    <n v="3.375"/>
    <n v="16.875"/>
    <s v="Arabica"/>
    <x v="0"/>
    <x v="0"/>
  </r>
  <r>
    <s v="JNA-21450-177"/>
    <x v="18"/>
    <s v="54798-14109-HC"/>
    <s v="A-D-1"/>
    <n v="3"/>
    <x v="760"/>
    <s v="oskermen3@hatena.ne.jp"/>
    <x v="0"/>
    <x v="2"/>
    <s v="D"/>
    <x v="0"/>
    <n v="9.9499999999999993"/>
    <n v="29.849999999999998"/>
    <s v="Arabica"/>
    <x v="2"/>
    <x v="0"/>
  </r>
  <r>
    <s v="MPQ-23421-608"/>
    <x v="180"/>
    <s v="08023-52962-ET"/>
    <s v="E-M-0.5"/>
    <n v="5"/>
    <x v="761"/>
    <s v="kheddanmy@icq.com"/>
    <x v="0"/>
    <x v="1"/>
    <s v="M"/>
    <x v="1"/>
    <n v="8.25"/>
    <n v="41.25"/>
    <s v="Excelsa"/>
    <x v="0"/>
    <x v="0"/>
  </r>
  <r>
    <s v="NLI-63891-565"/>
    <x v="580"/>
    <s v="41899-00283-VK"/>
    <s v="E-M-0.2"/>
    <n v="5"/>
    <x v="762"/>
    <s v="ichartersmz@abc.net.au"/>
    <x v="0"/>
    <x v="1"/>
    <s v="M"/>
    <x v="3"/>
    <n v="4.125"/>
    <n v="20.625"/>
    <s v="Excelsa"/>
    <x v="0"/>
    <x v="1"/>
  </r>
  <r>
    <s v="HHF-36647-854"/>
    <x v="453"/>
    <s v="39011-18412-GR"/>
    <s v="A-D-2.5"/>
    <n v="6"/>
    <x v="763"/>
    <s v="aroubertn0@tmall.com"/>
    <x v="0"/>
    <x v="2"/>
    <s v="D"/>
    <x v="2"/>
    <n v="22.884999999999998"/>
    <n v="137.31"/>
    <s v="Arabica"/>
    <x v="2"/>
    <x v="0"/>
  </r>
  <r>
    <s v="SBN-16537-046"/>
    <x v="259"/>
    <s v="60255-12579-PZ"/>
    <s v="A-D-0.2"/>
    <n v="1"/>
    <x v="764"/>
    <s v="hmairsn1@so-net.ne.jp"/>
    <x v="0"/>
    <x v="2"/>
    <s v="D"/>
    <x v="3"/>
    <n v="2.9849999999999999"/>
    <n v="2.9849999999999999"/>
    <s v="Arabica"/>
    <x v="2"/>
    <x v="1"/>
  </r>
  <r>
    <s v="XZD-44484-632"/>
    <x v="607"/>
    <s v="80541-38332-BP"/>
    <s v="E-M-1"/>
    <n v="2"/>
    <x v="765"/>
    <s v="hrainforthn2@blog.com"/>
    <x v="0"/>
    <x v="1"/>
    <s v="M"/>
    <x v="0"/>
    <n v="13.75"/>
    <n v="27.5"/>
    <s v="Excelsa"/>
    <x v="0"/>
    <x v="1"/>
  </r>
  <r>
    <s v="XZD-44484-632"/>
    <x v="607"/>
    <s v="80541-38332-BP"/>
    <s v="A-D-0.2"/>
    <n v="2"/>
    <x v="765"/>
    <s v="hrainforthn2@blog.com"/>
    <x v="0"/>
    <x v="2"/>
    <s v="D"/>
    <x v="3"/>
    <n v="2.9849999999999999"/>
    <n v="5.97"/>
    <s v="Arabica"/>
    <x v="2"/>
    <x v="1"/>
  </r>
  <r>
    <s v="IKQ-39946-768"/>
    <x v="385"/>
    <s v="72778-50968-UQ"/>
    <s v="R-M-1"/>
    <n v="6"/>
    <x v="766"/>
    <s v="ijespern4@theglobeandmail.com"/>
    <x v="0"/>
    <x v="0"/>
    <s v="M"/>
    <x v="0"/>
    <n v="9.9499999999999993"/>
    <n v="59.699999999999996"/>
    <s v="Robusta"/>
    <x v="0"/>
    <x v="1"/>
  </r>
  <r>
    <s v="KMB-95211-174"/>
    <x v="608"/>
    <s v="23941-30203-MO"/>
    <s v="R-D-2.5"/>
    <n v="4"/>
    <x v="767"/>
    <s v="ldwerryhousen5@gravatar.com"/>
    <x v="0"/>
    <x v="0"/>
    <s v="D"/>
    <x v="2"/>
    <n v="20.584999999999997"/>
    <n v="82.339999999999989"/>
    <s v="Robusta"/>
    <x v="2"/>
    <x v="0"/>
  </r>
  <r>
    <s v="QWY-99467-368"/>
    <x v="609"/>
    <s v="96434-50068-DZ"/>
    <s v="A-D-2.5"/>
    <n v="1"/>
    <x v="768"/>
    <s v="nbroomern6@examiner.com"/>
    <x v="0"/>
    <x v="2"/>
    <s v="D"/>
    <x v="2"/>
    <n v="22.884999999999998"/>
    <n v="22.884999999999998"/>
    <s v="Arabica"/>
    <x v="2"/>
    <x v="1"/>
  </r>
  <r>
    <s v="SRG-76791-614"/>
    <x v="147"/>
    <s v="11729-74102-XB"/>
    <s v="E-L-0.5"/>
    <n v="1"/>
    <x v="769"/>
    <s v="kthoumassonn7@bloglovin.com"/>
    <x v="0"/>
    <x v="1"/>
    <s v="L"/>
    <x v="1"/>
    <n v="8.91"/>
    <n v="8.91"/>
    <s v="Excelsa"/>
    <x v="1"/>
    <x v="0"/>
  </r>
  <r>
    <s v="VSN-94485-621"/>
    <x v="172"/>
    <s v="88116-12604-TE"/>
    <s v="A-D-0.2"/>
    <n v="4"/>
    <x v="770"/>
    <s v="fhabberghamn8@discovery.com"/>
    <x v="0"/>
    <x v="2"/>
    <s v="D"/>
    <x v="3"/>
    <n v="2.9849999999999999"/>
    <n v="11.94"/>
    <s v="Arabica"/>
    <x v="2"/>
    <x v="1"/>
  </r>
  <r>
    <s v="UFZ-24348-219"/>
    <x v="610"/>
    <s v="27930-59250-JT"/>
    <s v="L-M-2.5"/>
    <n v="3"/>
    <x v="745"/>
    <s v=""/>
    <x v="0"/>
    <x v="3"/>
    <s v="M"/>
    <x v="2"/>
    <n v="33.464999999999996"/>
    <n v="100.39499999999998"/>
    <s v="Liberica"/>
    <x v="0"/>
    <x v="1"/>
  </r>
  <r>
    <s v="UKS-93055-397"/>
    <x v="611"/>
    <s v="13082-41034-PD"/>
    <s v="A-D-2.5"/>
    <n v="5"/>
    <x v="771"/>
    <s v="ravrashinna@tamu.edu"/>
    <x v="0"/>
    <x v="2"/>
    <s v="D"/>
    <x v="2"/>
    <n v="22.884999999999998"/>
    <n v="114.42499999999998"/>
    <s v="Arabica"/>
    <x v="2"/>
    <x v="1"/>
  </r>
  <r>
    <s v="AVH-56062-335"/>
    <x v="612"/>
    <s v="18082-74419-QH"/>
    <s v="E-M-0.5"/>
    <n v="5"/>
    <x v="772"/>
    <s v="mdoidgenb@etsy.com"/>
    <x v="0"/>
    <x v="1"/>
    <s v="M"/>
    <x v="1"/>
    <n v="8.25"/>
    <n v="41.25"/>
    <s v="Excelsa"/>
    <x v="0"/>
    <x v="1"/>
  </r>
  <r>
    <s v="HGE-19842-613"/>
    <x v="613"/>
    <s v="49401-45041-ZU"/>
    <s v="R-L-0.5"/>
    <n v="4"/>
    <x v="773"/>
    <s v="jedinboronc@reverbnation.com"/>
    <x v="0"/>
    <x v="0"/>
    <s v="L"/>
    <x v="1"/>
    <n v="7.169999999999999"/>
    <n v="28.679999999999996"/>
    <s v="Robusta"/>
    <x v="1"/>
    <x v="0"/>
  </r>
  <r>
    <s v="WBA-85905-175"/>
    <x v="611"/>
    <s v="41252-45992-VS"/>
    <s v="L-M-0.2"/>
    <n v="1"/>
    <x v="774"/>
    <s v="ttewelsonnd@cdbaby.com"/>
    <x v="0"/>
    <x v="3"/>
    <s v="M"/>
    <x v="3"/>
    <n v="4.3650000000000002"/>
    <n v="4.3650000000000002"/>
    <s v="Liberica"/>
    <x v="0"/>
    <x v="1"/>
  </r>
  <r>
    <s v="DZI-35365-596"/>
    <x v="493"/>
    <s v="54798-14109-HC"/>
    <s v="E-M-0.2"/>
    <n v="2"/>
    <x v="760"/>
    <s v="oskermen3@hatena.ne.jp"/>
    <x v="0"/>
    <x v="1"/>
    <s v="M"/>
    <x v="3"/>
    <n v="4.125"/>
    <n v="8.25"/>
    <s v="Excelsa"/>
    <x v="0"/>
    <x v="0"/>
  </r>
  <r>
    <s v="XIR-88982-743"/>
    <x v="614"/>
    <s v="00852-54571-WP"/>
    <s v="E-M-0.2"/>
    <n v="2"/>
    <x v="775"/>
    <s v="ddrewittnf@mapquest.com"/>
    <x v="0"/>
    <x v="1"/>
    <s v="M"/>
    <x v="3"/>
    <n v="4.125"/>
    <n v="8.25"/>
    <s v="Excelsa"/>
    <x v="0"/>
    <x v="0"/>
  </r>
  <r>
    <s v="VUC-72395-865"/>
    <x v="151"/>
    <s v="13321-57602-GK"/>
    <s v="A-D-0.5"/>
    <n v="6"/>
    <x v="776"/>
    <s v="agladhillng@stanford.edu"/>
    <x v="0"/>
    <x v="2"/>
    <s v="D"/>
    <x v="1"/>
    <n v="5.97"/>
    <n v="35.82"/>
    <s v="Arabica"/>
    <x v="2"/>
    <x v="0"/>
  </r>
  <r>
    <s v="BQJ-44755-910"/>
    <x v="489"/>
    <s v="75006-89922-VW"/>
    <s v="E-D-2.5"/>
    <n v="6"/>
    <x v="777"/>
    <s v="mlorineznh@whitehouse.gov"/>
    <x v="0"/>
    <x v="1"/>
    <s v="D"/>
    <x v="2"/>
    <n v="27.945"/>
    <n v="167.67000000000002"/>
    <s v="Excelsa"/>
    <x v="2"/>
    <x v="1"/>
  </r>
  <r>
    <s v="JKC-64636-831"/>
    <x v="615"/>
    <s v="52098-80103-FD"/>
    <s v="A-M-2.5"/>
    <n v="2"/>
    <x v="778"/>
    <s v=""/>
    <x v="0"/>
    <x v="2"/>
    <s v="M"/>
    <x v="2"/>
    <n v="25.874999999999996"/>
    <n v="51.749999999999993"/>
    <s v="Arabica"/>
    <x v="0"/>
    <x v="0"/>
  </r>
  <r>
    <s v="ZKI-78561-066"/>
    <x v="616"/>
    <s v="60121-12432-VU"/>
    <s v="A-D-0.2"/>
    <n v="3"/>
    <x v="779"/>
    <s v="mvannj@wikipedia.org"/>
    <x v="0"/>
    <x v="2"/>
    <s v="D"/>
    <x v="3"/>
    <n v="2.9849999999999999"/>
    <n v="8.9550000000000001"/>
    <s v="Arabica"/>
    <x v="2"/>
    <x v="0"/>
  </r>
  <r>
    <s v="IMP-12563-728"/>
    <x v="578"/>
    <s v="68346-14810-UA"/>
    <s v="E-L-0.5"/>
    <n v="6"/>
    <x v="780"/>
    <s v=""/>
    <x v="0"/>
    <x v="1"/>
    <s v="L"/>
    <x v="1"/>
    <n v="8.91"/>
    <n v="53.46"/>
    <s v="Excelsa"/>
    <x v="1"/>
    <x v="1"/>
  </r>
  <r>
    <s v="MZL-81126-390"/>
    <x v="617"/>
    <s v="48464-99723-HK"/>
    <s v="A-L-0.2"/>
    <n v="6"/>
    <x v="781"/>
    <s v="jethelstonnl@creativecommons.org"/>
    <x v="0"/>
    <x v="2"/>
    <s v="L"/>
    <x v="3"/>
    <n v="3.8849999999999998"/>
    <n v="23.31"/>
    <s v="Arabica"/>
    <x v="1"/>
    <x v="0"/>
  </r>
  <r>
    <s v="MZL-81126-390"/>
    <x v="617"/>
    <s v="48464-99723-HK"/>
    <s v="A-M-0.2"/>
    <n v="2"/>
    <x v="781"/>
    <s v="jethelstonnl@creativecommons.org"/>
    <x v="0"/>
    <x v="2"/>
    <s v="M"/>
    <x v="3"/>
    <n v="3.375"/>
    <n v="6.75"/>
    <s v="Arabica"/>
    <x v="0"/>
    <x v="0"/>
  </r>
  <r>
    <s v="TVF-57766-608"/>
    <x v="155"/>
    <s v="88420-46464-XE"/>
    <s v="L-D-0.5"/>
    <n v="1"/>
    <x v="782"/>
    <s v="peberznn@woothemes.com"/>
    <x v="0"/>
    <x v="3"/>
    <s v="D"/>
    <x v="1"/>
    <n v="7.77"/>
    <n v="7.77"/>
    <s v="Liberica"/>
    <x v="2"/>
    <x v="0"/>
  </r>
  <r>
    <s v="RUX-37995-892"/>
    <x v="461"/>
    <s v="37762-09530-MP"/>
    <s v="L-D-2.5"/>
    <n v="4"/>
    <x v="783"/>
    <s v="bgaishno@altervista.org"/>
    <x v="0"/>
    <x v="3"/>
    <s v="D"/>
    <x v="2"/>
    <n v="29.784999999999997"/>
    <n v="119.13999999999999"/>
    <s v="Liberica"/>
    <x v="2"/>
    <x v="0"/>
  </r>
  <r>
    <s v="AVK-76526-953"/>
    <x v="87"/>
    <s v="47268-50127-XY"/>
    <s v="A-D-1"/>
    <n v="2"/>
    <x v="784"/>
    <s v="ldantonnp@miitbeian.gov.cn"/>
    <x v="0"/>
    <x v="2"/>
    <s v="D"/>
    <x v="0"/>
    <n v="9.9499999999999993"/>
    <n v="19.899999999999999"/>
    <s v="Arabica"/>
    <x v="2"/>
    <x v="1"/>
  </r>
  <r>
    <s v="RIU-02231-623"/>
    <x v="618"/>
    <s v="25544-84179-QC"/>
    <s v="R-L-0.5"/>
    <n v="5"/>
    <x v="785"/>
    <s v="smorrallnq@answers.com"/>
    <x v="0"/>
    <x v="0"/>
    <s v="L"/>
    <x v="1"/>
    <n v="7.169999999999999"/>
    <n v="35.849999999999994"/>
    <s v="Robusta"/>
    <x v="1"/>
    <x v="0"/>
  </r>
  <r>
    <s v="WFK-99317-827"/>
    <x v="619"/>
    <s v="32058-76765-ZL"/>
    <s v="L-D-2.5"/>
    <n v="3"/>
    <x v="786"/>
    <s v="dcrownshawnr@photobucket.com"/>
    <x v="0"/>
    <x v="3"/>
    <s v="D"/>
    <x v="2"/>
    <n v="29.784999999999997"/>
    <n v="89.35499999999999"/>
    <s v="Liberica"/>
    <x v="2"/>
    <x v="1"/>
  </r>
  <r>
    <s v="SFD-00372-284"/>
    <x v="440"/>
    <s v="54798-14109-HC"/>
    <s v="L-M-0.2"/>
    <n v="2"/>
    <x v="760"/>
    <s v="oskermen3@hatena.ne.jp"/>
    <x v="0"/>
    <x v="3"/>
    <s v="M"/>
    <x v="3"/>
    <n v="4.3650000000000002"/>
    <n v="8.73"/>
    <s v="Liberica"/>
    <x v="0"/>
    <x v="0"/>
  </r>
  <r>
    <s v="SXC-62166-515"/>
    <x v="489"/>
    <s v="69171-65646-UC"/>
    <s v="R-L-2.5"/>
    <n v="5"/>
    <x v="787"/>
    <s v="jreddochnt@sun.com"/>
    <x v="0"/>
    <x v="0"/>
    <s v="L"/>
    <x v="2"/>
    <n v="27.484999999999996"/>
    <n v="137.42499999999998"/>
    <s v="Robusta"/>
    <x v="1"/>
    <x v="1"/>
  </r>
  <r>
    <s v="YIE-87008-621"/>
    <x v="620"/>
    <s v="22503-52799-MI"/>
    <s v="L-M-0.5"/>
    <n v="4"/>
    <x v="788"/>
    <s v="stitleynu@whitehouse.gov"/>
    <x v="0"/>
    <x v="3"/>
    <s v="M"/>
    <x v="1"/>
    <n v="8.73"/>
    <n v="34.92"/>
    <s v="Liberica"/>
    <x v="0"/>
    <x v="1"/>
  </r>
  <r>
    <s v="HRM-94548-288"/>
    <x v="621"/>
    <s v="08934-65581-ZI"/>
    <s v="A-L-2.5"/>
    <n v="6"/>
    <x v="789"/>
    <s v="rsimaonv@simplemachines.org"/>
    <x v="0"/>
    <x v="2"/>
    <s v="L"/>
    <x v="2"/>
    <n v="29.784999999999997"/>
    <n v="178.70999999999998"/>
    <s v="Arabica"/>
    <x v="1"/>
    <x v="1"/>
  </r>
  <r>
    <s v="UJG-34731-295"/>
    <x v="374"/>
    <s v="15764-22559-ZT"/>
    <s v="A-M-2.5"/>
    <n v="1"/>
    <x v="790"/>
    <s v=""/>
    <x v="0"/>
    <x v="2"/>
    <s v="M"/>
    <x v="2"/>
    <n v="25.874999999999996"/>
    <n v="25.874999999999996"/>
    <s v="Arabica"/>
    <x v="0"/>
    <x v="1"/>
  </r>
  <r>
    <s v="TWD-70988-853"/>
    <x v="345"/>
    <s v="87519-68847-ZG"/>
    <s v="L-D-1"/>
    <n v="6"/>
    <x v="791"/>
    <s v="nchisholmnx@example.com"/>
    <x v="0"/>
    <x v="3"/>
    <s v="D"/>
    <x v="0"/>
    <n v="12.95"/>
    <n v="77.699999999999989"/>
    <s v="Liberica"/>
    <x v="2"/>
    <x v="0"/>
  </r>
  <r>
    <s v="CIX-22904-641"/>
    <x v="622"/>
    <s v="78012-56878-UB"/>
    <s v="R-M-1"/>
    <n v="1"/>
    <x v="792"/>
    <s v="goatsny@live.com"/>
    <x v="0"/>
    <x v="0"/>
    <s v="M"/>
    <x v="0"/>
    <n v="9.9499999999999993"/>
    <n v="9.9499999999999993"/>
    <s v="Robusta"/>
    <x v="0"/>
    <x v="0"/>
  </r>
  <r>
    <s v="DLV-65840-759"/>
    <x v="623"/>
    <s v="77192-72145-RG"/>
    <s v="L-M-1"/>
    <n v="2"/>
    <x v="793"/>
    <s v="mbirkinnz@java.com"/>
    <x v="0"/>
    <x v="3"/>
    <s v="M"/>
    <x v="0"/>
    <n v="14.55"/>
    <n v="29.1"/>
    <s v="Liberica"/>
    <x v="0"/>
    <x v="0"/>
  </r>
  <r>
    <s v="RXN-55491-201"/>
    <x v="354"/>
    <s v="86071-79238-CX"/>
    <s v="R-L-0.2"/>
    <n v="6"/>
    <x v="794"/>
    <s v="rpysono0@constantcontact.com"/>
    <x v="1"/>
    <x v="0"/>
    <s v="L"/>
    <x v="3"/>
    <n v="3.5849999999999995"/>
    <n v="21.509999999999998"/>
    <s v="Robusta"/>
    <x v="1"/>
    <x v="1"/>
  </r>
  <r>
    <s v="UHK-63283-868"/>
    <x v="624"/>
    <s v="16809-16936-WF"/>
    <s v="A-M-0.5"/>
    <n v="1"/>
    <x v="795"/>
    <s v="mmacconnechieo9@reuters.com"/>
    <x v="0"/>
    <x v="2"/>
    <s v="M"/>
    <x v="1"/>
    <n v="6.75"/>
    <n v="6.75"/>
    <s v="Arabica"/>
    <x v="0"/>
    <x v="0"/>
  </r>
  <r>
    <s v="PJC-31401-893"/>
    <x v="561"/>
    <s v="11212-69985-ZJ"/>
    <s v="A-D-0.5"/>
    <n v="3"/>
    <x v="796"/>
    <s v="rtreachero2@usa.gov"/>
    <x v="1"/>
    <x v="2"/>
    <s v="D"/>
    <x v="1"/>
    <n v="5.97"/>
    <n v="17.91"/>
    <s v="Arabica"/>
    <x v="2"/>
    <x v="1"/>
  </r>
  <r>
    <s v="HHO-79903-185"/>
    <x v="42"/>
    <s v="53893-01719-CL"/>
    <s v="A-L-2.5"/>
    <n v="1"/>
    <x v="797"/>
    <s v="bfattorinio3@quantcast.com"/>
    <x v="1"/>
    <x v="2"/>
    <s v="L"/>
    <x v="2"/>
    <n v="29.784999999999997"/>
    <n v="29.784999999999997"/>
    <s v="Arabica"/>
    <x v="1"/>
    <x v="0"/>
  </r>
  <r>
    <s v="YWM-07310-594"/>
    <x v="267"/>
    <s v="66028-99867-WJ"/>
    <s v="E-M-0.5"/>
    <n v="5"/>
    <x v="798"/>
    <s v="mpalleskeo4@nyu.edu"/>
    <x v="0"/>
    <x v="1"/>
    <s v="M"/>
    <x v="1"/>
    <n v="8.25"/>
    <n v="41.25"/>
    <s v="Excelsa"/>
    <x v="0"/>
    <x v="0"/>
  </r>
  <r>
    <s v="FHD-94983-982"/>
    <x v="625"/>
    <s v="62839-56723-CH"/>
    <s v="R-M-0.5"/>
    <n v="3"/>
    <x v="799"/>
    <s v=""/>
    <x v="0"/>
    <x v="0"/>
    <s v="M"/>
    <x v="1"/>
    <n v="5.97"/>
    <n v="17.91"/>
    <s v="Robusta"/>
    <x v="0"/>
    <x v="0"/>
  </r>
  <r>
    <s v="WQK-10857-119"/>
    <x v="616"/>
    <s v="96849-52854-CR"/>
    <s v="E-D-0.5"/>
    <n v="1"/>
    <x v="800"/>
    <s v="fantcliffeo6@amazon.co.jp"/>
    <x v="1"/>
    <x v="1"/>
    <s v="D"/>
    <x v="1"/>
    <n v="7.29"/>
    <n v="7.29"/>
    <s v="Excelsa"/>
    <x v="2"/>
    <x v="0"/>
  </r>
  <r>
    <s v="DXA-50313-073"/>
    <x v="626"/>
    <s v="19755-55847-VW"/>
    <s v="E-L-1"/>
    <n v="2"/>
    <x v="801"/>
    <s v="pmatignono7@harvard.edu"/>
    <x v="2"/>
    <x v="1"/>
    <s v="L"/>
    <x v="0"/>
    <n v="14.85"/>
    <n v="29.7"/>
    <s v="Excelsa"/>
    <x v="1"/>
    <x v="0"/>
  </r>
  <r>
    <s v="ONW-00560-570"/>
    <x v="52"/>
    <s v="32900-82606-BO"/>
    <s v="A-M-1"/>
    <n v="2"/>
    <x v="802"/>
    <s v="cweondo8@theglobeandmail.com"/>
    <x v="0"/>
    <x v="2"/>
    <s v="M"/>
    <x v="0"/>
    <n v="11.25"/>
    <n v="22.5"/>
    <s v="Arabica"/>
    <x v="0"/>
    <x v="1"/>
  </r>
  <r>
    <s v="BRJ-19414-277"/>
    <x v="622"/>
    <s v="16809-16936-WF"/>
    <s v="R-M-0.2"/>
    <n v="4"/>
    <x v="795"/>
    <s v="mmacconnechieo9@reuters.com"/>
    <x v="0"/>
    <x v="0"/>
    <s v="M"/>
    <x v="3"/>
    <n v="2.9849999999999999"/>
    <n v="11.94"/>
    <s v="Robusta"/>
    <x v="0"/>
    <x v="0"/>
  </r>
  <r>
    <s v="MIQ-16322-908"/>
    <x v="627"/>
    <s v="20118-28138-QD"/>
    <s v="A-L-1"/>
    <n v="2"/>
    <x v="803"/>
    <s v="jskentelberyoa@paypal.com"/>
    <x v="0"/>
    <x v="2"/>
    <s v="L"/>
    <x v="0"/>
    <n v="12.95"/>
    <n v="25.9"/>
    <s v="Arabica"/>
    <x v="1"/>
    <x v="1"/>
  </r>
  <r>
    <s v="MVO-39328-830"/>
    <x v="628"/>
    <s v="84057-45461-AH"/>
    <s v="L-M-0.5"/>
    <n v="5"/>
    <x v="804"/>
    <s v="ocomberob@goo.gl"/>
    <x v="1"/>
    <x v="3"/>
    <s v="M"/>
    <x v="1"/>
    <n v="8.73"/>
    <n v="43.650000000000006"/>
    <s v="Liberica"/>
    <x v="0"/>
    <x v="1"/>
  </r>
  <r>
    <s v="MVO-39328-830"/>
    <x v="628"/>
    <s v="84057-45461-AH"/>
    <s v="A-L-0.5"/>
    <n v="6"/>
    <x v="804"/>
    <s v="ocomberob@goo.gl"/>
    <x v="1"/>
    <x v="2"/>
    <s v="L"/>
    <x v="1"/>
    <n v="7.77"/>
    <n v="46.62"/>
    <s v="Arabica"/>
    <x v="1"/>
    <x v="1"/>
  </r>
  <r>
    <s v="NTJ-88319-746"/>
    <x v="629"/>
    <s v="90882-88130-KQ"/>
    <s v="L-L-0.5"/>
    <n v="3"/>
    <x v="805"/>
    <s v="ztramelod@netlog.com"/>
    <x v="0"/>
    <x v="3"/>
    <s v="L"/>
    <x v="1"/>
    <n v="9.51"/>
    <n v="28.53"/>
    <s v="Liberica"/>
    <x v="1"/>
    <x v="1"/>
  </r>
  <r>
    <s v="LCY-24377-948"/>
    <x v="630"/>
    <s v="21617-79890-DD"/>
    <s v="R-L-2.5"/>
    <n v="1"/>
    <x v="806"/>
    <s v=""/>
    <x v="0"/>
    <x v="0"/>
    <s v="L"/>
    <x v="2"/>
    <n v="27.484999999999996"/>
    <n v="27.484999999999996"/>
    <s v="Robusta"/>
    <x v="1"/>
    <x v="0"/>
  </r>
  <r>
    <s v="FWD-85967-769"/>
    <x v="631"/>
    <s v="20256-54689-LO"/>
    <s v="E-D-0.2"/>
    <n v="3"/>
    <x v="807"/>
    <s v=""/>
    <x v="0"/>
    <x v="1"/>
    <s v="D"/>
    <x v="3"/>
    <n v="3.645"/>
    <n v="10.935"/>
    <s v="Excelsa"/>
    <x v="2"/>
    <x v="1"/>
  </r>
  <r>
    <s v="KTO-53793-109"/>
    <x v="229"/>
    <s v="17572-27091-AA"/>
    <s v="R-L-0.2"/>
    <n v="2"/>
    <x v="808"/>
    <s v="chatfullog@ebay.com"/>
    <x v="0"/>
    <x v="0"/>
    <s v="L"/>
    <x v="3"/>
    <n v="3.5849999999999995"/>
    <n v="7.169999999999999"/>
    <s v="Robusta"/>
    <x v="1"/>
    <x v="1"/>
  </r>
  <r>
    <s v="OCK-89033-348"/>
    <x v="632"/>
    <s v="82300-88786-UE"/>
    <s v="A-L-0.2"/>
    <n v="6"/>
    <x v="809"/>
    <s v=""/>
    <x v="0"/>
    <x v="2"/>
    <s v="L"/>
    <x v="3"/>
    <n v="3.8849999999999998"/>
    <n v="23.31"/>
    <s v="Arabica"/>
    <x v="1"/>
    <x v="0"/>
  </r>
  <r>
    <s v="GPZ-36017-366"/>
    <x v="633"/>
    <s v="65732-22589-OW"/>
    <s v="A-D-2.5"/>
    <n v="5"/>
    <x v="810"/>
    <s v="kmarrisonoq@dropbox.com"/>
    <x v="0"/>
    <x v="2"/>
    <s v="D"/>
    <x v="2"/>
    <n v="22.884999999999998"/>
    <n v="114.42499999999998"/>
    <s v="Arabica"/>
    <x v="2"/>
    <x v="0"/>
  </r>
  <r>
    <s v="BZP-33213-637"/>
    <x v="95"/>
    <s v="77175-09826-SF"/>
    <s v="A-M-2.5"/>
    <n v="3"/>
    <x v="811"/>
    <s v="lagnolooj@pinterest.com"/>
    <x v="0"/>
    <x v="2"/>
    <s v="M"/>
    <x v="2"/>
    <n v="25.874999999999996"/>
    <n v="77.624999999999986"/>
    <s v="Arabica"/>
    <x v="0"/>
    <x v="0"/>
  </r>
  <r>
    <s v="WFH-21507-708"/>
    <x v="521"/>
    <s v="07237-32539-NB"/>
    <s v="R-D-0.5"/>
    <n v="1"/>
    <x v="812"/>
    <s v="dkiddyok@fda.gov"/>
    <x v="0"/>
    <x v="0"/>
    <s v="D"/>
    <x v="1"/>
    <n v="5.3699999999999992"/>
    <n v="5.3699999999999992"/>
    <s v="Robusta"/>
    <x v="2"/>
    <x v="0"/>
  </r>
  <r>
    <s v="HST-96923-073"/>
    <x v="76"/>
    <s v="54722-76431-EX"/>
    <s v="R-D-2.5"/>
    <n v="6"/>
    <x v="813"/>
    <s v="hpetroulisol@state.tx.us"/>
    <x v="1"/>
    <x v="0"/>
    <s v="D"/>
    <x v="2"/>
    <n v="20.584999999999997"/>
    <n v="123.50999999999999"/>
    <s v="Robusta"/>
    <x v="2"/>
    <x v="1"/>
  </r>
  <r>
    <s v="ENN-79947-323"/>
    <x v="634"/>
    <s v="67847-82662-TE"/>
    <s v="L-M-0.5"/>
    <n v="2"/>
    <x v="814"/>
    <s v="mschollom@taobao.com"/>
    <x v="0"/>
    <x v="3"/>
    <s v="M"/>
    <x v="1"/>
    <n v="8.73"/>
    <n v="17.46"/>
    <s v="Liberica"/>
    <x v="0"/>
    <x v="1"/>
  </r>
  <r>
    <s v="BHA-47429-889"/>
    <x v="635"/>
    <s v="51114-51191-EW"/>
    <s v="E-L-0.2"/>
    <n v="3"/>
    <x v="815"/>
    <s v="kfersonon@g.co"/>
    <x v="0"/>
    <x v="1"/>
    <s v="L"/>
    <x v="3"/>
    <n v="4.4550000000000001"/>
    <n v="13.365"/>
    <s v="Excelsa"/>
    <x v="1"/>
    <x v="1"/>
  </r>
  <r>
    <s v="SZY-63017-318"/>
    <x v="636"/>
    <s v="91809-58808-TV"/>
    <s v="A-L-0.2"/>
    <n v="2"/>
    <x v="816"/>
    <s v="bkellowayoo@omniture.com"/>
    <x v="0"/>
    <x v="2"/>
    <s v="L"/>
    <x v="3"/>
    <n v="3.8849999999999998"/>
    <n v="7.77"/>
    <s v="Arabica"/>
    <x v="1"/>
    <x v="0"/>
  </r>
  <r>
    <s v="LCU-93317-340"/>
    <x v="637"/>
    <s v="84996-26826-DK"/>
    <s v="R-D-0.2"/>
    <n v="1"/>
    <x v="817"/>
    <s v="soliffeop@yellowbook.com"/>
    <x v="0"/>
    <x v="0"/>
    <s v="D"/>
    <x v="3"/>
    <n v="2.6849999999999996"/>
    <n v="2.6849999999999996"/>
    <s v="Robusta"/>
    <x v="2"/>
    <x v="0"/>
  </r>
  <r>
    <s v="UOM-71431-481"/>
    <x v="182"/>
    <s v="65732-22589-OW"/>
    <s v="R-D-2.5"/>
    <n v="1"/>
    <x v="810"/>
    <s v="kmarrisonoq@dropbox.com"/>
    <x v="0"/>
    <x v="0"/>
    <s v="D"/>
    <x v="2"/>
    <n v="20.584999999999997"/>
    <n v="20.584999999999997"/>
    <s v="Robusta"/>
    <x v="2"/>
    <x v="0"/>
  </r>
  <r>
    <s v="PJH-42618-877"/>
    <x v="479"/>
    <s v="93676-95250-XJ"/>
    <s v="A-D-2.5"/>
    <n v="5"/>
    <x v="818"/>
    <s v="cdolohuntyor@dailymail.co.uk"/>
    <x v="0"/>
    <x v="2"/>
    <s v="D"/>
    <x v="2"/>
    <n v="22.884999999999998"/>
    <n v="114.42499999999998"/>
    <s v="Arabica"/>
    <x v="2"/>
    <x v="0"/>
  </r>
  <r>
    <s v="XED-90333-402"/>
    <x v="638"/>
    <s v="28300-14355-GF"/>
    <s v="E-M-0.2"/>
    <n v="5"/>
    <x v="819"/>
    <s v="pvasilenkoos@addtoany.com"/>
    <x v="2"/>
    <x v="1"/>
    <s v="M"/>
    <x v="3"/>
    <n v="4.125"/>
    <n v="20.625"/>
    <s v="Excelsa"/>
    <x v="0"/>
    <x v="1"/>
  </r>
  <r>
    <s v="IKK-62234-199"/>
    <x v="639"/>
    <s v="91190-84826-IQ"/>
    <s v="L-L-0.5"/>
    <n v="6"/>
    <x v="820"/>
    <s v="rschankelborgot@ameblo.jp"/>
    <x v="0"/>
    <x v="3"/>
    <s v="L"/>
    <x v="1"/>
    <n v="9.51"/>
    <n v="57.06"/>
    <s v="Liberica"/>
    <x v="1"/>
    <x v="0"/>
  </r>
  <r>
    <s v="KAW-95195-329"/>
    <x v="640"/>
    <s v="34570-99384-AF"/>
    <s v="R-D-2.5"/>
    <n v="4"/>
    <x v="821"/>
    <s v=""/>
    <x v="1"/>
    <x v="0"/>
    <s v="D"/>
    <x v="2"/>
    <n v="20.584999999999997"/>
    <n v="82.339999999999989"/>
    <s v="Robusta"/>
    <x v="2"/>
    <x v="0"/>
  </r>
  <r>
    <s v="QDO-57268-842"/>
    <x v="612"/>
    <s v="57808-90533-UE"/>
    <s v="E-M-2.5"/>
    <n v="5"/>
    <x v="822"/>
    <s v=""/>
    <x v="0"/>
    <x v="1"/>
    <s v="M"/>
    <x v="2"/>
    <n v="31.624999999999996"/>
    <n v="158.12499999999997"/>
    <s v="Excelsa"/>
    <x v="0"/>
    <x v="1"/>
  </r>
  <r>
    <s v="IIZ-24416-212"/>
    <x v="641"/>
    <s v="76060-30540-LB"/>
    <s v="R-D-0.5"/>
    <n v="6"/>
    <x v="823"/>
    <s v="bcargenow@geocities.jp"/>
    <x v="0"/>
    <x v="0"/>
    <s v="D"/>
    <x v="1"/>
    <n v="5.3699999999999992"/>
    <n v="32.22"/>
    <s v="Robusta"/>
    <x v="2"/>
    <x v="0"/>
  </r>
  <r>
    <s v="AWP-11469-510"/>
    <x v="36"/>
    <s v="76730-63769-ND"/>
    <s v="E-D-1"/>
    <n v="2"/>
    <x v="824"/>
    <s v="rsticklerox@printfriendly.com"/>
    <x v="2"/>
    <x v="1"/>
    <s v="D"/>
    <x v="0"/>
    <n v="12.15"/>
    <n v="24.3"/>
    <s v="Excelsa"/>
    <x v="2"/>
    <x v="1"/>
  </r>
  <r>
    <s v="KXA-27983-918"/>
    <x v="642"/>
    <s v="96042-27290-EQ"/>
    <s v="R-L-0.5"/>
    <n v="5"/>
    <x v="825"/>
    <s v=""/>
    <x v="0"/>
    <x v="0"/>
    <s v="L"/>
    <x v="1"/>
    <n v="7.169999999999999"/>
    <n v="35.849999999999994"/>
    <s v="Robusta"/>
    <x v="1"/>
    <x v="1"/>
  </r>
  <r>
    <s v="VKQ-39009-292"/>
    <x v="219"/>
    <s v="57808-90533-UE"/>
    <s v="L-M-1"/>
    <n v="5"/>
    <x v="822"/>
    <s v=""/>
    <x v="0"/>
    <x v="3"/>
    <s v="M"/>
    <x v="0"/>
    <n v="14.55"/>
    <n v="72.75"/>
    <s v="Liberica"/>
    <x v="0"/>
    <x v="1"/>
  </r>
  <r>
    <s v="PDB-98743-282"/>
    <x v="643"/>
    <s v="51940-02669-OR"/>
    <s v="L-L-1"/>
    <n v="3"/>
    <x v="826"/>
    <s v=""/>
    <x v="1"/>
    <x v="3"/>
    <s v="L"/>
    <x v="0"/>
    <n v="15.85"/>
    <n v="47.55"/>
    <s v="Liberica"/>
    <x v="1"/>
    <x v="1"/>
  </r>
  <r>
    <s v="SXW-34014-556"/>
    <x v="644"/>
    <s v="99144-98314-GN"/>
    <s v="R-L-0.2"/>
    <n v="1"/>
    <x v="827"/>
    <s v="djevonp1@ibm.com"/>
    <x v="0"/>
    <x v="0"/>
    <s v="L"/>
    <x v="3"/>
    <n v="3.5849999999999995"/>
    <n v="3.5849999999999995"/>
    <s v="Robusta"/>
    <x v="1"/>
    <x v="0"/>
  </r>
  <r>
    <s v="QOJ-38788-727"/>
    <x v="136"/>
    <s v="16358-63919-CE"/>
    <s v="E-M-2.5"/>
    <n v="5"/>
    <x v="828"/>
    <s v="hrannerp2@omniture.com"/>
    <x v="0"/>
    <x v="1"/>
    <s v="M"/>
    <x v="2"/>
    <n v="31.624999999999996"/>
    <n v="158.12499999999997"/>
    <s v="Excelsa"/>
    <x v="0"/>
    <x v="1"/>
  </r>
  <r>
    <s v="TGF-38649-658"/>
    <x v="645"/>
    <s v="67743-54817-UT"/>
    <s v="L-M-0.5"/>
    <n v="2"/>
    <x v="829"/>
    <s v="bimriep3@addtoany.com"/>
    <x v="0"/>
    <x v="3"/>
    <s v="M"/>
    <x v="1"/>
    <n v="8.73"/>
    <n v="17.46"/>
    <s v="Liberica"/>
    <x v="0"/>
    <x v="1"/>
  </r>
  <r>
    <s v="EAI-25194-209"/>
    <x v="646"/>
    <s v="44601-51441-BH"/>
    <s v="A-L-2.5"/>
    <n v="5"/>
    <x v="830"/>
    <s v="dsopperp4@eventbrite.com"/>
    <x v="0"/>
    <x v="2"/>
    <s v="L"/>
    <x v="2"/>
    <n v="29.784999999999997"/>
    <n v="148.92499999999998"/>
    <s v="Arabica"/>
    <x v="1"/>
    <x v="1"/>
  </r>
  <r>
    <s v="IJK-34441-720"/>
    <x v="647"/>
    <s v="97201-58870-WB"/>
    <s v="A-M-0.5"/>
    <n v="6"/>
    <x v="831"/>
    <s v=""/>
    <x v="0"/>
    <x v="2"/>
    <s v="M"/>
    <x v="1"/>
    <n v="6.75"/>
    <n v="40.5"/>
    <s v="Arabica"/>
    <x v="0"/>
    <x v="0"/>
  </r>
  <r>
    <s v="ZMC-00336-619"/>
    <x v="591"/>
    <s v="19849-12926-QF"/>
    <s v="A-M-0.5"/>
    <n v="4"/>
    <x v="832"/>
    <s v="lledgleyp6@de.vu"/>
    <x v="0"/>
    <x v="2"/>
    <s v="M"/>
    <x v="1"/>
    <n v="6.75"/>
    <n v="27"/>
    <s v="Arabica"/>
    <x v="0"/>
    <x v="0"/>
  </r>
  <r>
    <s v="UPX-54529-618"/>
    <x v="648"/>
    <s v="40535-56770-UM"/>
    <s v="L-D-1"/>
    <n v="3"/>
    <x v="833"/>
    <s v="tmenaryp7@phoca.cz"/>
    <x v="0"/>
    <x v="3"/>
    <s v="D"/>
    <x v="0"/>
    <n v="12.95"/>
    <n v="38.849999999999994"/>
    <s v="Liberica"/>
    <x v="2"/>
    <x v="1"/>
  </r>
  <r>
    <s v="DLX-01059-899"/>
    <x v="191"/>
    <s v="74940-09646-MU"/>
    <s v="R-L-1"/>
    <n v="5"/>
    <x v="834"/>
    <s v="gciccottip8@so-net.ne.jp"/>
    <x v="0"/>
    <x v="0"/>
    <s v="L"/>
    <x v="0"/>
    <n v="11.95"/>
    <n v="59.75"/>
    <s v="Robusta"/>
    <x v="1"/>
    <x v="1"/>
  </r>
  <r>
    <s v="MEK-85120-243"/>
    <x v="649"/>
    <s v="06623-54610-HC"/>
    <s v="R-L-0.2"/>
    <n v="3"/>
    <x v="835"/>
    <s v=""/>
    <x v="0"/>
    <x v="0"/>
    <s v="L"/>
    <x v="3"/>
    <n v="3.5849999999999995"/>
    <n v="10.754999999999999"/>
    <s v="Robusta"/>
    <x v="1"/>
    <x v="1"/>
  </r>
  <r>
    <s v="NFI-37188-246"/>
    <x v="553"/>
    <s v="89490-75361-AF"/>
    <s v="A-D-2.5"/>
    <n v="4"/>
    <x v="836"/>
    <s v="wjallinpa@pcworld.com"/>
    <x v="0"/>
    <x v="2"/>
    <s v="D"/>
    <x v="2"/>
    <n v="22.884999999999998"/>
    <n v="91.539999999999992"/>
    <s v="Arabica"/>
    <x v="2"/>
    <x v="1"/>
  </r>
  <r>
    <s v="BXH-62195-013"/>
    <x v="584"/>
    <s v="94526-79230-GZ"/>
    <s v="A-M-1"/>
    <n v="4"/>
    <x v="837"/>
    <s v="mbogeypb@thetimes.co.uk"/>
    <x v="0"/>
    <x v="2"/>
    <s v="M"/>
    <x v="0"/>
    <n v="11.25"/>
    <n v="45"/>
    <s v="Arabica"/>
    <x v="0"/>
    <x v="0"/>
  </r>
  <r>
    <s v="YLK-78851-470"/>
    <x v="650"/>
    <s v="58559-08254-UY"/>
    <s v="R-M-2.5"/>
    <n v="6"/>
    <x v="838"/>
    <s v=""/>
    <x v="0"/>
    <x v="0"/>
    <s v="M"/>
    <x v="2"/>
    <n v="22.884999999999998"/>
    <n v="137.31"/>
    <s v="Robusta"/>
    <x v="0"/>
    <x v="0"/>
  </r>
  <r>
    <s v="DXY-76225-633"/>
    <x v="121"/>
    <s v="88574-37083-WX"/>
    <s v="A-M-0.5"/>
    <n v="1"/>
    <x v="839"/>
    <s v="mcobbledickpd@ucsd.edu"/>
    <x v="0"/>
    <x v="2"/>
    <s v="M"/>
    <x v="1"/>
    <n v="6.75"/>
    <n v="6.75"/>
    <s v="Arabica"/>
    <x v="0"/>
    <x v="1"/>
  </r>
  <r>
    <s v="UHP-24614-199"/>
    <x v="472"/>
    <s v="67953-79896-AC"/>
    <s v="A-M-1"/>
    <n v="4"/>
    <x v="840"/>
    <s v="alewrype@whitehouse.gov"/>
    <x v="0"/>
    <x v="2"/>
    <s v="M"/>
    <x v="0"/>
    <n v="11.25"/>
    <n v="45"/>
    <s v="Arabica"/>
    <x v="0"/>
    <x v="1"/>
  </r>
  <r>
    <s v="HBY-35655-049"/>
    <x v="594"/>
    <s v="69207-93422-CQ"/>
    <s v="E-D-2.5"/>
    <n v="3"/>
    <x v="841"/>
    <s v="ihesselpf@ox.ac.uk"/>
    <x v="0"/>
    <x v="1"/>
    <s v="D"/>
    <x v="2"/>
    <n v="27.945"/>
    <n v="83.835000000000008"/>
    <s v="Excelsa"/>
    <x v="2"/>
    <x v="0"/>
  </r>
  <r>
    <s v="DCE-22886-861"/>
    <x v="89"/>
    <s v="56060-17602-RG"/>
    <s v="E-D-0.2"/>
    <n v="1"/>
    <x v="842"/>
    <s v=""/>
    <x v="1"/>
    <x v="1"/>
    <s v="D"/>
    <x v="3"/>
    <n v="3.645"/>
    <n v="3.645"/>
    <s v="Excelsa"/>
    <x v="2"/>
    <x v="0"/>
  </r>
  <r>
    <s v="QTG-93823-843"/>
    <x v="651"/>
    <s v="46859-14212-FI"/>
    <s v="A-M-0.5"/>
    <n v="1"/>
    <x v="843"/>
    <s v="csorrellph@amazon.com"/>
    <x v="2"/>
    <x v="2"/>
    <s v="M"/>
    <x v="1"/>
    <n v="6.75"/>
    <n v="6.75"/>
    <s v="Arabica"/>
    <x v="0"/>
    <x v="1"/>
  </r>
  <r>
    <s v="QTG-93823-843"/>
    <x v="651"/>
    <s v="46859-14212-FI"/>
    <s v="E-D-0.5"/>
    <n v="3"/>
    <x v="843"/>
    <s v="csorrellph@amazon.com"/>
    <x v="2"/>
    <x v="1"/>
    <s v="D"/>
    <x v="1"/>
    <n v="7.29"/>
    <n v="21.87"/>
    <s v="Excelsa"/>
    <x v="2"/>
    <x v="1"/>
  </r>
  <r>
    <s v="WFT-16178-396"/>
    <x v="249"/>
    <s v="33555-01585-RP"/>
    <s v="R-D-0.2"/>
    <n v="5"/>
    <x v="844"/>
    <s v="qheavysidepj@unc.edu"/>
    <x v="0"/>
    <x v="0"/>
    <s v="D"/>
    <x v="3"/>
    <n v="2.6849999999999996"/>
    <n v="13.424999999999997"/>
    <s v="Robusta"/>
    <x v="2"/>
    <x v="0"/>
  </r>
  <r>
    <s v="ERC-54560-934"/>
    <x v="652"/>
    <s v="11932-85629-CU"/>
    <s v="R-D-2.5"/>
    <n v="6"/>
    <x v="845"/>
    <s v="hreuvenpk@whitehouse.gov"/>
    <x v="0"/>
    <x v="0"/>
    <s v="D"/>
    <x v="2"/>
    <n v="20.584999999999997"/>
    <n v="123.50999999999999"/>
    <s v="Robusta"/>
    <x v="2"/>
    <x v="1"/>
  </r>
  <r>
    <s v="RUK-78200-416"/>
    <x v="653"/>
    <s v="36192-07175-XC"/>
    <s v="L-D-0.2"/>
    <n v="2"/>
    <x v="846"/>
    <s v="mattwoolpl@nba.com"/>
    <x v="0"/>
    <x v="3"/>
    <s v="D"/>
    <x v="3"/>
    <n v="3.8849999999999998"/>
    <n v="7.77"/>
    <s v="Liberica"/>
    <x v="2"/>
    <x v="1"/>
  </r>
  <r>
    <s v="KHK-13105-388"/>
    <x v="177"/>
    <s v="46242-54946-ZW"/>
    <s v="A-M-1"/>
    <n v="6"/>
    <x v="847"/>
    <s v=""/>
    <x v="0"/>
    <x v="2"/>
    <s v="M"/>
    <x v="0"/>
    <n v="11.25"/>
    <n v="67.5"/>
    <s v="Arabica"/>
    <x v="0"/>
    <x v="0"/>
  </r>
  <r>
    <s v="NJR-03699-189"/>
    <x v="22"/>
    <s v="95152-82155-VQ"/>
    <s v="E-D-2.5"/>
    <n v="1"/>
    <x v="848"/>
    <s v="gwynespn@dagondesign.com"/>
    <x v="0"/>
    <x v="1"/>
    <s v="D"/>
    <x v="2"/>
    <n v="27.945"/>
    <n v="27.945"/>
    <s v="Excelsa"/>
    <x v="2"/>
    <x v="1"/>
  </r>
  <r>
    <s v="PJV-20427-019"/>
    <x v="508"/>
    <s v="13404-39127-WQ"/>
    <s v="A-L-2.5"/>
    <n v="3"/>
    <x v="849"/>
    <s v="cmaccourtpo@amazon.com"/>
    <x v="0"/>
    <x v="2"/>
    <s v="L"/>
    <x v="2"/>
    <n v="29.784999999999997"/>
    <n v="89.35499999999999"/>
    <s v="Arabica"/>
    <x v="1"/>
    <x v="1"/>
  </r>
  <r>
    <s v="UGK-07613-982"/>
    <x v="654"/>
    <s v="57808-90533-UE"/>
    <s v="A-M-0.5"/>
    <n v="3"/>
    <x v="822"/>
    <s v=""/>
    <x v="0"/>
    <x v="2"/>
    <s v="M"/>
    <x v="1"/>
    <n v="6.75"/>
    <n v="20.25"/>
    <s v="Arabica"/>
    <x v="0"/>
    <x v="1"/>
  </r>
  <r>
    <s v="OLA-68289-577"/>
    <x v="524"/>
    <s v="40226-52317-IO"/>
    <s v="A-M-0.5"/>
    <n v="5"/>
    <x v="850"/>
    <s v="ewilsonepq@eepurl.com"/>
    <x v="0"/>
    <x v="2"/>
    <s v="M"/>
    <x v="1"/>
    <n v="6.75"/>
    <n v="33.75"/>
    <s v="Arabica"/>
    <x v="0"/>
    <x v="0"/>
  </r>
  <r>
    <s v="TNR-84447-052"/>
    <x v="655"/>
    <s v="34419-18068-AG"/>
    <s v="E-D-2.5"/>
    <n v="4"/>
    <x v="851"/>
    <s v="dduffiepr@time.com"/>
    <x v="0"/>
    <x v="1"/>
    <s v="D"/>
    <x v="2"/>
    <n v="27.945"/>
    <n v="111.78"/>
    <s v="Excelsa"/>
    <x v="2"/>
    <x v="1"/>
  </r>
  <r>
    <s v="FBZ-64200-586"/>
    <x v="523"/>
    <s v="51738-61457-RS"/>
    <s v="E-M-2.5"/>
    <n v="2"/>
    <x v="852"/>
    <s v="mmatiasekps@ucoz.ru"/>
    <x v="0"/>
    <x v="1"/>
    <s v="M"/>
    <x v="2"/>
    <n v="31.624999999999996"/>
    <n v="63.249999999999993"/>
    <s v="Excelsa"/>
    <x v="0"/>
    <x v="0"/>
  </r>
  <r>
    <s v="OBN-66334-505"/>
    <x v="656"/>
    <s v="86757-52367-ON"/>
    <s v="E-L-0.2"/>
    <n v="2"/>
    <x v="853"/>
    <s v="jcamillopt@shinystat.com"/>
    <x v="0"/>
    <x v="1"/>
    <s v="L"/>
    <x v="3"/>
    <n v="4.4550000000000001"/>
    <n v="8.91"/>
    <s v="Excelsa"/>
    <x v="1"/>
    <x v="0"/>
  </r>
  <r>
    <s v="NXM-89323-646"/>
    <x v="657"/>
    <s v="28158-93383-CK"/>
    <s v="E-D-1"/>
    <n v="1"/>
    <x v="854"/>
    <s v="kphilbrickpu@cdc.gov"/>
    <x v="0"/>
    <x v="1"/>
    <s v="D"/>
    <x v="0"/>
    <n v="12.15"/>
    <n v="12.15"/>
    <s v="Excelsa"/>
    <x v="2"/>
    <x v="0"/>
  </r>
  <r>
    <s v="NHI-23264-055"/>
    <x v="658"/>
    <s v="44799-09711-XW"/>
    <s v="A-D-0.5"/>
    <n v="4"/>
    <x v="855"/>
    <s v=""/>
    <x v="0"/>
    <x v="2"/>
    <s v="D"/>
    <x v="1"/>
    <n v="5.97"/>
    <n v="23.88"/>
    <s v="Arabica"/>
    <x v="2"/>
    <x v="0"/>
  </r>
  <r>
    <s v="EQH-53569-934"/>
    <x v="659"/>
    <s v="53667-91553-LT"/>
    <s v="E-M-1"/>
    <n v="4"/>
    <x v="856"/>
    <s v="bsillispw@istockphoto.com"/>
    <x v="0"/>
    <x v="1"/>
    <s v="M"/>
    <x v="0"/>
    <n v="13.75"/>
    <n v="55"/>
    <s v="Excelsa"/>
    <x v="0"/>
    <x v="1"/>
  </r>
  <r>
    <s v="XKK-06692-189"/>
    <x v="558"/>
    <s v="86579-92122-OC"/>
    <s v="R-D-1"/>
    <n v="3"/>
    <x v="857"/>
    <s v=""/>
    <x v="0"/>
    <x v="0"/>
    <s v="D"/>
    <x v="0"/>
    <n v="8.9499999999999993"/>
    <n v="26.849999999999998"/>
    <s v="Robusta"/>
    <x v="2"/>
    <x v="0"/>
  </r>
  <r>
    <s v="BYP-16005-016"/>
    <x v="660"/>
    <s v="01474-63436-TP"/>
    <s v="R-M-2.5"/>
    <n v="5"/>
    <x v="858"/>
    <s v="rcuttspy@techcrunch.com"/>
    <x v="0"/>
    <x v="0"/>
    <s v="M"/>
    <x v="2"/>
    <n v="22.884999999999998"/>
    <n v="114.42499999999998"/>
    <s v="Robusta"/>
    <x v="0"/>
    <x v="1"/>
  </r>
  <r>
    <s v="LWS-13938-905"/>
    <x v="661"/>
    <s v="90533-82440-EE"/>
    <s v="A-M-2.5"/>
    <n v="6"/>
    <x v="859"/>
    <s v="mdelvespz@nature.com"/>
    <x v="0"/>
    <x v="2"/>
    <s v="M"/>
    <x v="2"/>
    <n v="25.874999999999996"/>
    <n v="155.24999999999997"/>
    <s v="Arabica"/>
    <x v="0"/>
    <x v="0"/>
  </r>
  <r>
    <s v="OLH-95722-362"/>
    <x v="662"/>
    <s v="48553-69225-VX"/>
    <s v="L-D-0.5"/>
    <n v="3"/>
    <x v="860"/>
    <s v="dgrittonq0@nydailynews.com"/>
    <x v="0"/>
    <x v="3"/>
    <s v="D"/>
    <x v="1"/>
    <n v="7.77"/>
    <n v="23.31"/>
    <s v="Liberica"/>
    <x v="2"/>
    <x v="0"/>
  </r>
  <r>
    <s v="OLH-95722-362"/>
    <x v="662"/>
    <s v="48553-69225-VX"/>
    <s v="R-M-2.5"/>
    <n v="4"/>
    <x v="860"/>
    <s v="dgrittonq0@nydailynews.com"/>
    <x v="0"/>
    <x v="0"/>
    <s v="M"/>
    <x v="2"/>
    <n v="22.884999999999998"/>
    <n v="91.539999999999992"/>
    <s v="Robusta"/>
    <x v="0"/>
    <x v="0"/>
  </r>
  <r>
    <s v="KCW-50949-318"/>
    <x v="184"/>
    <s v="52374-27313-IV"/>
    <s v="E-L-1"/>
    <n v="5"/>
    <x v="861"/>
    <s v="dgutq2@umich.edu"/>
    <x v="0"/>
    <x v="1"/>
    <s v="L"/>
    <x v="0"/>
    <n v="14.85"/>
    <n v="74.25"/>
    <s v="Excelsa"/>
    <x v="1"/>
    <x v="0"/>
  </r>
  <r>
    <s v="JGZ-16947-591"/>
    <x v="663"/>
    <s v="14264-41252-SL"/>
    <s v="L-L-0.2"/>
    <n v="6"/>
    <x v="862"/>
    <s v="wpummeryq3@topsy.com"/>
    <x v="0"/>
    <x v="3"/>
    <s v="L"/>
    <x v="3"/>
    <n v="4.7549999999999999"/>
    <n v="28.53"/>
    <s v="Liberica"/>
    <x v="1"/>
    <x v="1"/>
  </r>
  <r>
    <s v="LXS-63326-144"/>
    <x v="334"/>
    <s v="35367-50483-AR"/>
    <s v="R-L-0.5"/>
    <n v="2"/>
    <x v="863"/>
    <s v="gsiudaq4@nytimes.com"/>
    <x v="0"/>
    <x v="0"/>
    <s v="L"/>
    <x v="1"/>
    <n v="7.169999999999999"/>
    <n v="14.339999999999998"/>
    <s v="Robusta"/>
    <x v="1"/>
    <x v="0"/>
  </r>
  <r>
    <s v="CZG-86544-655"/>
    <x v="664"/>
    <s v="69443-77665-QW"/>
    <s v="A-L-0.5"/>
    <n v="2"/>
    <x v="864"/>
    <s v="hcrowneq5@wufoo.com"/>
    <x v="1"/>
    <x v="2"/>
    <s v="L"/>
    <x v="1"/>
    <n v="7.77"/>
    <n v="15.54"/>
    <s v="Arabica"/>
    <x v="1"/>
    <x v="0"/>
  </r>
  <r>
    <s v="WFV-88138-247"/>
    <x v="24"/>
    <s v="63411-51758-QC"/>
    <s v="R-L-1"/>
    <n v="3"/>
    <x v="865"/>
    <s v="vpawseyq6@tiny.cc"/>
    <x v="0"/>
    <x v="0"/>
    <s v="L"/>
    <x v="0"/>
    <n v="11.95"/>
    <n v="35.849999999999994"/>
    <s v="Robusta"/>
    <x v="1"/>
    <x v="1"/>
  </r>
  <r>
    <s v="RFG-28227-288"/>
    <x v="12"/>
    <s v="68605-21835-UF"/>
    <s v="A-L-0.5"/>
    <n v="6"/>
    <x v="866"/>
    <s v="awaterhouseq7@istockphoto.com"/>
    <x v="0"/>
    <x v="2"/>
    <s v="L"/>
    <x v="1"/>
    <n v="7.77"/>
    <n v="46.62"/>
    <s v="Arabica"/>
    <x v="1"/>
    <x v="1"/>
  </r>
  <r>
    <s v="QAK-77286-758"/>
    <x v="105"/>
    <s v="34786-30419-XY"/>
    <s v="R-L-0.5"/>
    <n v="5"/>
    <x v="867"/>
    <s v="fhaughianq8@1688.com"/>
    <x v="0"/>
    <x v="0"/>
    <s v="L"/>
    <x v="1"/>
    <n v="7.169999999999999"/>
    <n v="35.849999999999994"/>
    <s v="Robusta"/>
    <x v="1"/>
    <x v="1"/>
  </r>
  <r>
    <s v="CZD-56716-840"/>
    <x v="665"/>
    <s v="15456-29250-RU"/>
    <s v="L-D-2.5"/>
    <n v="4"/>
    <x v="868"/>
    <s v=""/>
    <x v="0"/>
    <x v="3"/>
    <s v="D"/>
    <x v="2"/>
    <n v="29.784999999999997"/>
    <n v="119.13999999999999"/>
    <s v="Liberica"/>
    <x v="2"/>
    <x v="1"/>
  </r>
  <r>
    <s v="UBI-59229-277"/>
    <x v="44"/>
    <s v="00886-35803-FG"/>
    <s v="L-D-0.5"/>
    <n v="3"/>
    <x v="869"/>
    <s v=""/>
    <x v="0"/>
    <x v="3"/>
    <s v="D"/>
    <x v="1"/>
    <n v="7.77"/>
    <n v="23.31"/>
    <s v="Liberica"/>
    <x v="2"/>
    <x v="1"/>
  </r>
  <r>
    <s v="WJJ-37489-898"/>
    <x v="171"/>
    <s v="31599-82152-AD"/>
    <s v="A-M-1"/>
    <n v="1"/>
    <x v="870"/>
    <s v="rfaltinqb@topsy.com"/>
    <x v="1"/>
    <x v="2"/>
    <s v="M"/>
    <x v="0"/>
    <n v="11.25"/>
    <n v="11.25"/>
    <s v="Arabica"/>
    <x v="0"/>
    <x v="1"/>
  </r>
  <r>
    <s v="ORX-57454-917"/>
    <x v="328"/>
    <s v="76209-39601-ZR"/>
    <s v="E-D-2.5"/>
    <n v="3"/>
    <x v="871"/>
    <s v="gcheekeqc@sitemeter.com"/>
    <x v="2"/>
    <x v="1"/>
    <s v="D"/>
    <x v="2"/>
    <n v="27.945"/>
    <n v="83.835000000000008"/>
    <s v="Excelsa"/>
    <x v="2"/>
    <x v="0"/>
  </r>
  <r>
    <s v="GRB-68838-629"/>
    <x v="648"/>
    <s v="15064-65241-HB"/>
    <s v="R-L-2.5"/>
    <n v="4"/>
    <x v="872"/>
    <s v="grattqd@phpbb.com"/>
    <x v="1"/>
    <x v="0"/>
    <s v="L"/>
    <x v="2"/>
    <n v="27.484999999999996"/>
    <n v="109.93999999999998"/>
    <s v="Robusta"/>
    <x v="1"/>
    <x v="1"/>
  </r>
  <r>
    <s v="SHT-04865-419"/>
    <x v="666"/>
    <s v="69215-90789-DL"/>
    <s v="R-L-0.2"/>
    <n v="4"/>
    <x v="873"/>
    <s v=""/>
    <x v="0"/>
    <x v="0"/>
    <s v="L"/>
    <x v="3"/>
    <n v="3.5849999999999995"/>
    <n v="14.339999999999998"/>
    <s v="Robusta"/>
    <x v="1"/>
    <x v="0"/>
  </r>
  <r>
    <s v="UQI-28177-865"/>
    <x v="577"/>
    <s v="04317-46176-TB"/>
    <s v="R-L-0.2"/>
    <n v="6"/>
    <x v="874"/>
    <s v="ieberleinqf@hc360.com"/>
    <x v="0"/>
    <x v="0"/>
    <s v="L"/>
    <x v="3"/>
    <n v="3.5849999999999995"/>
    <n v="21.509999999999998"/>
    <s v="Robusta"/>
    <x v="1"/>
    <x v="1"/>
  </r>
  <r>
    <s v="OIB-13664-879"/>
    <x v="114"/>
    <s v="04713-57765-KR"/>
    <s v="A-M-1"/>
    <n v="2"/>
    <x v="875"/>
    <s v="jdrengqg@uiuc.edu"/>
    <x v="1"/>
    <x v="2"/>
    <s v="M"/>
    <x v="0"/>
    <n v="11.25"/>
    <n v="22.5"/>
    <s v="Arabica"/>
    <x v="0"/>
    <x v="0"/>
  </r>
  <r>
    <s v="PJS-30996-485"/>
    <x v="4"/>
    <s v="86579-92122-OC"/>
    <s v="A-L-0.2"/>
    <n v="1"/>
    <x v="857"/>
    <s v=""/>
    <x v="0"/>
    <x v="2"/>
    <s v="L"/>
    <x v="3"/>
    <n v="3.8849999999999998"/>
    <n v="3.8849999999999998"/>
    <s v="Arabica"/>
    <x v="1"/>
    <x v="0"/>
  </r>
  <r>
    <s v="HEL-86709-449"/>
    <x v="667"/>
    <s v="86579-92122-OC"/>
    <s v="E-D-2.5"/>
    <n v="1"/>
    <x v="857"/>
    <s v=""/>
    <x v="0"/>
    <x v="1"/>
    <s v="D"/>
    <x v="2"/>
    <n v="27.945"/>
    <n v="27.945"/>
    <s v="Excelsa"/>
    <x v="2"/>
    <x v="0"/>
  </r>
  <r>
    <s v="NCH-55389-562"/>
    <x v="110"/>
    <s v="86579-92122-OC"/>
    <s v="E-L-2.5"/>
    <n v="5"/>
    <x v="857"/>
    <s v=""/>
    <x v="0"/>
    <x v="1"/>
    <s v="L"/>
    <x v="2"/>
    <n v="34.154999999999994"/>
    <n v="170.77499999999998"/>
    <s v="Excelsa"/>
    <x v="1"/>
    <x v="0"/>
  </r>
  <r>
    <s v="NCH-55389-562"/>
    <x v="110"/>
    <s v="86579-92122-OC"/>
    <s v="R-L-2.5"/>
    <n v="2"/>
    <x v="857"/>
    <s v=""/>
    <x v="0"/>
    <x v="0"/>
    <s v="L"/>
    <x v="2"/>
    <n v="27.484999999999996"/>
    <n v="54.969999999999992"/>
    <s v="Robusta"/>
    <x v="1"/>
    <x v="0"/>
  </r>
  <r>
    <s v="NCH-55389-562"/>
    <x v="110"/>
    <s v="86579-92122-OC"/>
    <s v="E-L-1"/>
    <n v="1"/>
    <x v="857"/>
    <s v=""/>
    <x v="0"/>
    <x v="1"/>
    <s v="L"/>
    <x v="0"/>
    <n v="14.85"/>
    <n v="14.85"/>
    <s v="Excelsa"/>
    <x v="1"/>
    <x v="0"/>
  </r>
  <r>
    <s v="NCH-55389-562"/>
    <x v="110"/>
    <s v="86579-92122-OC"/>
    <s v="A-L-0.2"/>
    <n v="2"/>
    <x v="857"/>
    <s v=""/>
    <x v="0"/>
    <x v="2"/>
    <s v="L"/>
    <x v="3"/>
    <n v="3.8849999999999998"/>
    <n v="7.77"/>
    <s v="Arabica"/>
    <x v="1"/>
    <x v="0"/>
  </r>
  <r>
    <s v="GUG-45603-775"/>
    <x v="668"/>
    <s v="40959-32642-DN"/>
    <s v="L-L-0.2"/>
    <n v="5"/>
    <x v="876"/>
    <s v="rstrathernqn@devhub.com"/>
    <x v="0"/>
    <x v="3"/>
    <s v="L"/>
    <x v="3"/>
    <n v="4.7549999999999999"/>
    <n v="23.774999999999999"/>
    <s v="Liberica"/>
    <x v="1"/>
    <x v="0"/>
  </r>
  <r>
    <s v="KJB-98240-098"/>
    <x v="422"/>
    <s v="77746-08153-PM"/>
    <s v="L-L-1"/>
    <n v="5"/>
    <x v="877"/>
    <s v="cmiguelqo@exblog.jp"/>
    <x v="0"/>
    <x v="3"/>
    <s v="L"/>
    <x v="0"/>
    <n v="15.85"/>
    <n v="79.25"/>
    <s v="Liberica"/>
    <x v="1"/>
    <x v="0"/>
  </r>
  <r>
    <s v="JMS-48374-462"/>
    <x v="669"/>
    <s v="49667-96708-JL"/>
    <s v="A-D-2.5"/>
    <n v="2"/>
    <x v="878"/>
    <s v=""/>
    <x v="0"/>
    <x v="2"/>
    <s v="D"/>
    <x v="2"/>
    <n v="22.884999999999998"/>
    <n v="45.769999999999996"/>
    <s v="Arabica"/>
    <x v="2"/>
    <x v="0"/>
  </r>
  <r>
    <s v="YIT-15877-117"/>
    <x v="670"/>
    <s v="24155-79322-EQ"/>
    <s v="R-D-1"/>
    <n v="1"/>
    <x v="879"/>
    <s v="mrocksqq@exblog.jp"/>
    <x v="1"/>
    <x v="0"/>
    <s v="D"/>
    <x v="0"/>
    <n v="8.9499999999999993"/>
    <n v="8.9499999999999993"/>
    <s v="Robusta"/>
    <x v="2"/>
    <x v="0"/>
  </r>
  <r>
    <s v="YVK-82679-655"/>
    <x v="341"/>
    <s v="95342-88311-SF"/>
    <s v="R-M-0.5"/>
    <n v="4"/>
    <x v="880"/>
    <s v="yburrellsqr@vinaora.com"/>
    <x v="0"/>
    <x v="0"/>
    <s v="M"/>
    <x v="1"/>
    <n v="5.97"/>
    <n v="23.88"/>
    <s v="Robusta"/>
    <x v="0"/>
    <x v="0"/>
  </r>
  <r>
    <s v="TYH-81940-054"/>
    <x v="671"/>
    <s v="69374-08133-RI"/>
    <s v="E-L-0.2"/>
    <n v="5"/>
    <x v="881"/>
    <s v="cgoodrumqs@goodreads.com"/>
    <x v="0"/>
    <x v="1"/>
    <s v="L"/>
    <x v="3"/>
    <n v="4.4550000000000001"/>
    <n v="22.274999999999999"/>
    <s v="Excelsa"/>
    <x v="1"/>
    <x v="1"/>
  </r>
  <r>
    <s v="HTY-30660-254"/>
    <x v="672"/>
    <s v="83844-95908-RX"/>
    <s v="R-M-1"/>
    <n v="3"/>
    <x v="882"/>
    <s v="jjefferysqt@blog.com"/>
    <x v="0"/>
    <x v="0"/>
    <s v="M"/>
    <x v="0"/>
    <n v="9.9499999999999993"/>
    <n v="29.849999999999998"/>
    <s v="Robusta"/>
    <x v="0"/>
    <x v="0"/>
  </r>
  <r>
    <s v="GPW-43956-761"/>
    <x v="673"/>
    <s v="09667-09231-YM"/>
    <s v="E-L-0.5"/>
    <n v="6"/>
    <x v="883"/>
    <s v="bwardellqu@adobe.com"/>
    <x v="0"/>
    <x v="1"/>
    <s v="L"/>
    <x v="1"/>
    <n v="8.91"/>
    <n v="53.46"/>
    <s v="Excelsa"/>
    <x v="1"/>
    <x v="0"/>
  </r>
  <r>
    <s v="DWY-56352-412"/>
    <x v="674"/>
    <s v="55427-08059-DF"/>
    <s v="R-D-0.2"/>
    <n v="1"/>
    <x v="884"/>
    <s v="zwalisiakqv@ucsd.edu"/>
    <x v="1"/>
    <x v="0"/>
    <s v="D"/>
    <x v="3"/>
    <n v="2.6849999999999996"/>
    <n v="2.6849999999999996"/>
    <s v="Robusta"/>
    <x v="2"/>
    <x v="0"/>
  </r>
  <r>
    <s v="PUH-55647-976"/>
    <x v="675"/>
    <s v="06624-54037-BQ"/>
    <s v="R-M-0.2"/>
    <n v="2"/>
    <x v="885"/>
    <s v="wleopoldqw@blogspot.com"/>
    <x v="0"/>
    <x v="0"/>
    <s v="M"/>
    <x v="3"/>
    <n v="2.9849999999999999"/>
    <n v="5.97"/>
    <s v="Robusta"/>
    <x v="0"/>
    <x v="1"/>
  </r>
  <r>
    <s v="DTB-71371-705"/>
    <x v="539"/>
    <s v="48544-90737-AZ"/>
    <s v="L-D-1"/>
    <n v="1"/>
    <x v="886"/>
    <s v="cshaldersqx@cisco.com"/>
    <x v="0"/>
    <x v="3"/>
    <s v="D"/>
    <x v="0"/>
    <n v="12.95"/>
    <n v="12.95"/>
    <s v="Liberica"/>
    <x v="2"/>
    <x v="0"/>
  </r>
  <r>
    <s v="ZDC-64769-740"/>
    <x v="676"/>
    <s v="79463-01597-FQ"/>
    <s v="E-M-0.5"/>
    <n v="1"/>
    <x v="887"/>
    <s v=""/>
    <x v="0"/>
    <x v="1"/>
    <s v="M"/>
    <x v="1"/>
    <n v="8.25"/>
    <n v="8.25"/>
    <s v="Excelsa"/>
    <x v="0"/>
    <x v="1"/>
  </r>
  <r>
    <s v="TED-81959-419"/>
    <x v="677"/>
    <s v="27702-50024-XC"/>
    <s v="A-L-2.5"/>
    <n v="5"/>
    <x v="888"/>
    <s v="nfurberqz@jugem.jp"/>
    <x v="0"/>
    <x v="2"/>
    <s v="L"/>
    <x v="2"/>
    <n v="29.784999999999997"/>
    <n v="148.92499999999998"/>
    <s v="Arabica"/>
    <x v="1"/>
    <x v="1"/>
  </r>
  <r>
    <s v="FDO-25756-141"/>
    <x v="629"/>
    <s v="57360-46846-NS"/>
    <s v="A-L-2.5"/>
    <n v="3"/>
    <x v="889"/>
    <s v=""/>
    <x v="1"/>
    <x v="2"/>
    <s v="L"/>
    <x v="2"/>
    <n v="29.784999999999997"/>
    <n v="89.35499999999999"/>
    <s v="Arabica"/>
    <x v="1"/>
    <x v="0"/>
  </r>
  <r>
    <s v="HKN-31467-517"/>
    <x v="662"/>
    <s v="84045-66771-SL"/>
    <s v="L-M-1"/>
    <n v="6"/>
    <x v="890"/>
    <s v="ckeaver1@ucoz.com"/>
    <x v="0"/>
    <x v="3"/>
    <s v="M"/>
    <x v="0"/>
    <n v="14.55"/>
    <n v="87.300000000000011"/>
    <s v="Liberica"/>
    <x v="0"/>
    <x v="1"/>
  </r>
  <r>
    <s v="POF-29666-012"/>
    <x v="102"/>
    <s v="46885-00260-TL"/>
    <s v="R-D-0.5"/>
    <n v="1"/>
    <x v="891"/>
    <s v="sroseboroughr2@virginia.edu"/>
    <x v="0"/>
    <x v="0"/>
    <s v="D"/>
    <x v="1"/>
    <n v="5.3699999999999992"/>
    <n v="5.3699999999999992"/>
    <s v="Robusta"/>
    <x v="2"/>
    <x v="0"/>
  </r>
  <r>
    <s v="IRX-59256-644"/>
    <x v="678"/>
    <s v="96446-62142-EN"/>
    <s v="A-D-0.2"/>
    <n v="3"/>
    <x v="892"/>
    <s v="ckingwellr3@squarespace.com"/>
    <x v="1"/>
    <x v="2"/>
    <s v="D"/>
    <x v="3"/>
    <n v="2.9849999999999999"/>
    <n v="8.9550000000000001"/>
    <s v="Arabica"/>
    <x v="2"/>
    <x v="0"/>
  </r>
  <r>
    <s v="LTN-89139-350"/>
    <x v="679"/>
    <s v="07756-71018-GU"/>
    <s v="R-L-2.5"/>
    <n v="5"/>
    <x v="893"/>
    <s v="kcantor4@gmpg.org"/>
    <x v="0"/>
    <x v="0"/>
    <s v="L"/>
    <x v="2"/>
    <n v="27.484999999999996"/>
    <n v="137.42499999999998"/>
    <s v="Robusta"/>
    <x v="1"/>
    <x v="0"/>
  </r>
  <r>
    <s v="TXF-79780-017"/>
    <x v="112"/>
    <s v="92048-47813-QB"/>
    <s v="R-L-1"/>
    <n v="5"/>
    <x v="894"/>
    <s v="mblakemorer5@nsw.gov.au"/>
    <x v="0"/>
    <x v="0"/>
    <s v="L"/>
    <x v="0"/>
    <n v="11.95"/>
    <n v="59.75"/>
    <s v="Robusta"/>
    <x v="1"/>
    <x v="1"/>
  </r>
  <r>
    <s v="ALM-80762-974"/>
    <x v="55"/>
    <s v="84045-66771-SL"/>
    <s v="A-L-0.5"/>
    <n v="3"/>
    <x v="890"/>
    <s v="ckeaver1@ucoz.com"/>
    <x v="0"/>
    <x v="2"/>
    <s v="L"/>
    <x v="1"/>
    <n v="7.77"/>
    <n v="23.31"/>
    <s v="Arabica"/>
    <x v="1"/>
    <x v="1"/>
  </r>
  <r>
    <s v="NXF-15738-707"/>
    <x v="680"/>
    <s v="28699-16256-XV"/>
    <s v="R-D-0.5"/>
    <n v="2"/>
    <x v="895"/>
    <s v=""/>
    <x v="0"/>
    <x v="0"/>
    <s v="D"/>
    <x v="1"/>
    <n v="5.3699999999999992"/>
    <n v="10.739999999999998"/>
    <s v="Robusta"/>
    <x v="2"/>
    <x v="1"/>
  </r>
  <r>
    <s v="MVV-19034-198"/>
    <x v="94"/>
    <s v="98476-63654-CG"/>
    <s v="E-D-2.5"/>
    <n v="6"/>
    <x v="896"/>
    <s v=""/>
    <x v="0"/>
    <x v="1"/>
    <s v="D"/>
    <x v="2"/>
    <n v="27.945"/>
    <n v="167.67000000000002"/>
    <s v="Excelsa"/>
    <x v="2"/>
    <x v="0"/>
  </r>
  <r>
    <s v="KUX-19632-830"/>
    <x v="160"/>
    <s v="55409-07759-YG"/>
    <s v="E-D-0.2"/>
    <n v="6"/>
    <x v="897"/>
    <s v="cbernardotr9@wix.com"/>
    <x v="0"/>
    <x v="1"/>
    <s v="D"/>
    <x v="3"/>
    <n v="3.645"/>
    <n v="21.87"/>
    <s v="Excelsa"/>
    <x v="2"/>
    <x v="0"/>
  </r>
  <r>
    <s v="SNZ-44595-152"/>
    <x v="681"/>
    <s v="06136-65250-PG"/>
    <s v="R-L-1"/>
    <n v="2"/>
    <x v="898"/>
    <s v="kkemeryra@t.co"/>
    <x v="0"/>
    <x v="0"/>
    <s v="L"/>
    <x v="0"/>
    <n v="11.95"/>
    <n v="23.9"/>
    <s v="Robusta"/>
    <x v="1"/>
    <x v="0"/>
  </r>
  <r>
    <s v="GQA-37241-629"/>
    <x v="502"/>
    <s v="08405-33165-BS"/>
    <s v="A-M-0.2"/>
    <n v="2"/>
    <x v="899"/>
    <s v="fparlotrb@forbes.com"/>
    <x v="0"/>
    <x v="2"/>
    <s v="M"/>
    <x v="3"/>
    <n v="3.375"/>
    <n v="6.75"/>
    <s v="Arabica"/>
    <x v="0"/>
    <x v="0"/>
  </r>
  <r>
    <s v="WVV-79948-067"/>
    <x v="682"/>
    <s v="66070-30559-WI"/>
    <s v="E-M-2.5"/>
    <n v="1"/>
    <x v="900"/>
    <s v="rcheakrc@tripadvisor.com"/>
    <x v="1"/>
    <x v="1"/>
    <s v="M"/>
    <x v="2"/>
    <n v="31.624999999999996"/>
    <n v="31.624999999999996"/>
    <s v="Excelsa"/>
    <x v="0"/>
    <x v="0"/>
  </r>
  <r>
    <s v="LHX-81117-166"/>
    <x v="683"/>
    <s v="01282-28364-RZ"/>
    <s v="R-L-1"/>
    <n v="4"/>
    <x v="901"/>
    <s v="kogeneayrd@utexas.edu"/>
    <x v="0"/>
    <x v="0"/>
    <s v="L"/>
    <x v="0"/>
    <n v="11.95"/>
    <n v="47.8"/>
    <s v="Robusta"/>
    <x v="1"/>
    <x v="1"/>
  </r>
  <r>
    <s v="GCD-75444-320"/>
    <x v="594"/>
    <s v="51277-93873-RP"/>
    <s v="L-M-2.5"/>
    <n v="1"/>
    <x v="902"/>
    <s v="cayrere@symantec.com"/>
    <x v="0"/>
    <x v="3"/>
    <s v="M"/>
    <x v="2"/>
    <n v="33.464999999999996"/>
    <n v="33.464999999999996"/>
    <s v="Liberica"/>
    <x v="0"/>
    <x v="1"/>
  </r>
  <r>
    <s v="SGA-30059-217"/>
    <x v="389"/>
    <s v="84405-83364-DG"/>
    <s v="A-D-0.5"/>
    <n v="5"/>
    <x v="903"/>
    <s v="lkynetonrf@macromedia.com"/>
    <x v="2"/>
    <x v="2"/>
    <s v="D"/>
    <x v="1"/>
    <n v="5.97"/>
    <n v="29.849999999999998"/>
    <s v="Arabica"/>
    <x v="2"/>
    <x v="0"/>
  </r>
  <r>
    <s v="GNL-98714-885"/>
    <x v="583"/>
    <s v="83731-53280-YC"/>
    <s v="R-M-1"/>
    <n v="3"/>
    <x v="904"/>
    <s v=""/>
    <x v="2"/>
    <x v="0"/>
    <s v="M"/>
    <x v="0"/>
    <n v="9.9499999999999993"/>
    <n v="29.849999999999998"/>
    <s v="Robusta"/>
    <x v="0"/>
    <x v="0"/>
  </r>
  <r>
    <s v="OQA-93249-841"/>
    <x v="647"/>
    <s v="03917-13632-KC"/>
    <s v="A-M-2.5"/>
    <n v="6"/>
    <x v="905"/>
    <s v=""/>
    <x v="0"/>
    <x v="2"/>
    <s v="M"/>
    <x v="2"/>
    <n v="25.874999999999996"/>
    <n v="155.24999999999997"/>
    <s v="Arabica"/>
    <x v="0"/>
    <x v="0"/>
  </r>
  <r>
    <s v="DUV-12075-132"/>
    <x v="366"/>
    <s v="62494-09113-RP"/>
    <s v="E-D-0.2"/>
    <n v="5"/>
    <x v="906"/>
    <s v=""/>
    <x v="0"/>
    <x v="1"/>
    <s v="D"/>
    <x v="3"/>
    <n v="3.645"/>
    <n v="18.225000000000001"/>
    <s v="Excelsa"/>
    <x v="2"/>
    <x v="1"/>
  </r>
  <r>
    <s v="DUV-12075-132"/>
    <x v="366"/>
    <s v="62494-09113-RP"/>
    <s v="L-D-0.5"/>
    <n v="2"/>
    <x v="906"/>
    <s v=""/>
    <x v="0"/>
    <x v="3"/>
    <s v="D"/>
    <x v="1"/>
    <n v="7.77"/>
    <n v="15.54"/>
    <s v="Liberica"/>
    <x v="2"/>
    <x v="1"/>
  </r>
  <r>
    <s v="KPO-24942-184"/>
    <x v="684"/>
    <s v="70567-65133-CN"/>
    <s v="L-L-2.5"/>
    <n v="3"/>
    <x v="907"/>
    <s v=""/>
    <x v="1"/>
    <x v="3"/>
    <s v="L"/>
    <x v="2"/>
    <n v="36.454999999999998"/>
    <n v="109.36499999999999"/>
    <s v="Liberica"/>
    <x v="1"/>
    <x v="1"/>
  </r>
  <r>
    <s v="SRJ-79353-838"/>
    <x v="506"/>
    <s v="77869-81373-AY"/>
    <s v="A-L-1"/>
    <n v="6"/>
    <x v="908"/>
    <s v=""/>
    <x v="0"/>
    <x v="2"/>
    <s v="L"/>
    <x v="0"/>
    <n v="12.95"/>
    <n v="77.699999999999989"/>
    <s v="Arabica"/>
    <x v="1"/>
    <x v="1"/>
  </r>
  <r>
    <s v="XBV-40336-071"/>
    <x v="685"/>
    <s v="38536-98293-JZ"/>
    <s v="A-D-0.2"/>
    <n v="3"/>
    <x v="909"/>
    <s v=""/>
    <x v="1"/>
    <x v="2"/>
    <s v="D"/>
    <x v="3"/>
    <n v="2.9849999999999999"/>
    <n v="8.9550000000000001"/>
    <s v="Arabica"/>
    <x v="2"/>
    <x v="1"/>
  </r>
  <r>
    <s v="RLM-96511-467"/>
    <x v="191"/>
    <s v="43014-53743-XK"/>
    <s v="R-L-2.5"/>
    <n v="1"/>
    <x v="910"/>
    <s v="jtewelsonrn@samsung.com"/>
    <x v="0"/>
    <x v="0"/>
    <s v="L"/>
    <x v="2"/>
    <n v="27.484999999999996"/>
    <n v="27.484999999999996"/>
    <s v="Robusta"/>
    <x v="1"/>
    <x v="1"/>
  </r>
  <r>
    <s v="AEZ-13242-456"/>
    <x v="686"/>
    <s v="62494-09113-RP"/>
    <s v="R-M-0.5"/>
    <n v="5"/>
    <x v="906"/>
    <s v=""/>
    <x v="0"/>
    <x v="0"/>
    <s v="M"/>
    <x v="1"/>
    <n v="5.97"/>
    <n v="29.849999999999998"/>
    <s v="Robusta"/>
    <x v="0"/>
    <x v="1"/>
  </r>
  <r>
    <s v="UME-75640-698"/>
    <x v="687"/>
    <s v="62494-09113-RP"/>
    <s v="A-M-0.5"/>
    <n v="4"/>
    <x v="906"/>
    <s v=""/>
    <x v="0"/>
    <x v="2"/>
    <s v="M"/>
    <x v="1"/>
    <n v="6.75"/>
    <n v="27"/>
    <s v="Arabica"/>
    <x v="0"/>
    <x v="1"/>
  </r>
  <r>
    <s v="GJC-66474-557"/>
    <x v="629"/>
    <s v="64965-78386-MY"/>
    <s v="A-D-1"/>
    <n v="1"/>
    <x v="911"/>
    <s v="njennyrq@bigcartel.com"/>
    <x v="0"/>
    <x v="2"/>
    <s v="D"/>
    <x v="0"/>
    <n v="9.9499999999999993"/>
    <n v="9.9499999999999993"/>
    <s v="Arabica"/>
    <x v="2"/>
    <x v="1"/>
  </r>
  <r>
    <s v="IRV-20769-219"/>
    <x v="688"/>
    <s v="77131-58092-GE"/>
    <s v="E-M-0.2"/>
    <n v="3"/>
    <x v="912"/>
    <s v=""/>
    <x v="2"/>
    <x v="1"/>
    <s v="M"/>
    <x v="3"/>
    <n v="4.125"/>
    <n v="12.375"/>
    <s v="Excelsa"/>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B48F39-A8E4-4ECC-9DD5-C667C9204701}"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0">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4">
        <item x="2"/>
        <item x="1"/>
        <item x="3"/>
        <item x="0"/>
      </items>
    </pivotField>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8"/>
  </colFields>
  <colItems count="4">
    <i>
      <x/>
    </i>
    <i>
      <x v="1"/>
    </i>
    <i>
      <x v="2"/>
    </i>
    <i>
      <x v="3"/>
    </i>
  </colItems>
  <dataFields count="1">
    <dataField name="Sum of Sales" fld="12" baseField="0" baseItem="0" numFmtId="3"/>
  </dataFields>
  <chartFormats count="8">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7" format="8" series="1">
      <pivotArea type="data" outline="0" fieldPosition="0">
        <references count="2">
          <reference field="4294967294" count="1" selected="0">
            <x v="0"/>
          </reference>
          <reference field="8" count="1" selected="0">
            <x v="0"/>
          </reference>
        </references>
      </pivotArea>
    </chartFormat>
    <chartFormat chart="7" format="9" series="1">
      <pivotArea type="data" outline="0" fieldPosition="0">
        <references count="2">
          <reference field="4294967294" count="1" selected="0">
            <x v="0"/>
          </reference>
          <reference field="8" count="1" selected="0">
            <x v="1"/>
          </reference>
        </references>
      </pivotArea>
    </chartFormat>
    <chartFormat chart="7" format="10" series="1">
      <pivotArea type="data" outline="0" fieldPosition="0">
        <references count="2">
          <reference field="4294967294" count="1" selected="0">
            <x v="0"/>
          </reference>
          <reference field="8" count="1" selected="0">
            <x v="2"/>
          </reference>
        </references>
      </pivotArea>
    </chartFormat>
    <chartFormat chart="7" format="11" series="1">
      <pivotArea type="data" outline="0" fieldPosition="0">
        <references count="2">
          <reference field="4294967294" count="1" selected="0">
            <x v="0"/>
          </reference>
          <reference field="8"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B941B7-22F9-4130-90C9-6DDA3DD2AA80}" name="Country"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2">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items count="4">
        <item x="2"/>
        <item x="1"/>
        <item x="3"/>
        <item x="0"/>
      </items>
    </pivotField>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68"/>
  </dataFields>
  <chartFormats count="6">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7" count="1" selected="0">
            <x v="0"/>
          </reference>
        </references>
      </pivotArea>
    </chartFormat>
    <chartFormat chart="6" format="2">
      <pivotArea type="data" outline="0" fieldPosition="0">
        <references count="2">
          <reference field="4294967294" count="1" selected="0">
            <x v="0"/>
          </reference>
          <reference field="7" count="1" selected="0">
            <x v="1"/>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7" count="1" selected="0">
            <x v="1"/>
          </reference>
        </references>
      </pivotArea>
    </chartFormat>
    <chartFormat chart="9" format="8">
      <pivotArea type="data" outline="0" fieldPosition="0">
        <references count="2">
          <reference field="4294967294" count="1" selected="0">
            <x v="0"/>
          </reference>
          <reference field="7"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79106D-245C-445F-B47E-53D61CF421A6}" name="Top5Customer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2">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items count="4">
        <item x="2"/>
        <item x="1"/>
        <item x="3"/>
        <item x="0"/>
      </items>
    </pivotField>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168"/>
  </dataFields>
  <chartFormats count="5">
    <chartFormat chart="6" format="0"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2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8C4A3028-3168-41D1-A660-0084B0211FFB}" sourceName="Roast Type Name">
  <pivotTables>
    <pivotTable tabId="18" name="TotalSales"/>
    <pivotTable tabId="19" name="Country"/>
    <pivotTable tabId="23" name="Top5Customers"/>
  </pivotTables>
  <data>
    <tabular pivotCacheId="1914046948">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B74D64C3-780B-47E1-ADE1-2656AB4C789C}" sourceName="Size">
  <pivotTables>
    <pivotTable tabId="18" name="TotalSales"/>
    <pivotTable tabId="19" name="Country"/>
    <pivotTable tabId="23" name="Top5Customers"/>
  </pivotTables>
  <data>
    <tabular pivotCacheId="1914046948">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EC5C79EE-A022-4D4F-BEA9-4CE67007F191}" sourceName="Loyalty Card">
  <pivotTables>
    <pivotTable tabId="18" name="TotalSales"/>
    <pivotTable tabId="19" name="Country"/>
    <pivotTable tabId="23" name="Top5Customers"/>
  </pivotTables>
  <data>
    <tabular pivotCacheId="191404694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Name 1" xr10:uid="{F3A7021D-4900-47C6-8E87-639F9864DFFE}" cache="Slicer_Roast_Type_Name" caption="Roast Type Name" columnCount="3" style="Slicer Style 1" rowHeight="241300"/>
  <slicer name="Size 1" xr10:uid="{D033FFDB-CF60-4C74-8B55-57199C245778}" cache="Slicer_Size" caption="Size" columnCount="2" style="Slicer Style 1" rowHeight="241300"/>
  <slicer name="Loyalty Card 1" xr10:uid="{6FD12748-4466-45F2-8B68-42BE69CA4101}" cache="Slicer_Loyalty_Card" caption="Loyalty Card" style="Slicer Style 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Name" xr10:uid="{58F71B15-8A70-4806-8C1E-63155BFE37D2}" cache="Slicer_Roast_Type_Name" caption="Roast Type Name" columnCount="3" style="Slicer Style 1" rowHeight="241300"/>
  <slicer name="Size" xr10:uid="{BAB7F59F-30C1-4545-94FE-98EBB30AC360}" cache="Slicer_Size" caption="Size" columnCount="2" style="Slicer Style 1" rowHeight="241300"/>
  <slicer name="Loyalty Card" xr10:uid="{2E149EB6-8F22-42A7-A564-B60F37BEB72C}" cache="Slicer_Loyalty_Card" caption="Loyalty Card"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D159CF-2235-4F30-8F11-C19774E96BE2}" name="Orders" displayName="Orders" ref="A1:P1001" totalsRowShown="0" headerRowDxfId="11">
  <autoFilter ref="A1:P1001" xr:uid="{44D159CF-2235-4F30-8F11-C19774E96BE2}"/>
  <tableColumns count="16">
    <tableColumn id="1" xr3:uid="{EAB04E30-F8CC-4816-906A-44277574CE4E}" name="Order ID" dataDxfId="10"/>
    <tableColumn id="2" xr3:uid="{591F4FE4-E83D-4C4D-8A37-02C2A8B3378A}" name="Order Date" dataDxfId="9"/>
    <tableColumn id="3" xr3:uid="{916EF04C-C2EF-46FB-9DD8-023B42F5B12F}" name="Customer ID" dataDxfId="8"/>
    <tableColumn id="4" xr3:uid="{130F9F43-885D-46DB-AE69-60D1D015240F}" name="Product ID"/>
    <tableColumn id="5" xr3:uid="{F9134303-0661-4908-86E3-83F854333A23}" name="Quantity" dataDxfId="7"/>
    <tableColumn id="6" xr3:uid="{04D545CC-4459-4D19-94A7-5BDCB0D4E370}" name="Customer Name" dataDxfId="6">
      <calculatedColumnFormula>_xlfn.XLOOKUP(C2,customers!$A$1:$A$1001,customers!$B$1:$B$1001,,0)</calculatedColumnFormula>
    </tableColumn>
    <tableColumn id="7" xr3:uid="{99DD7AEF-DB18-4CBA-815D-29F8B9FA5865}" name="Email" dataDxfId="5">
      <calculatedColumnFormula>IF(_xlfn.XLOOKUP(C2,customers!$A$1:$A$1001,customers!$C$1:$C$1001,,0)=0,"",_xlfn.XLOOKUP(C2,customers!$A$1:$A$1001,customers!$C$1:$C$1001,,0))</calculatedColumnFormula>
    </tableColumn>
    <tableColumn id="8" xr3:uid="{CD4C6A5F-A8AF-4B09-83EE-CF74BBEBDEA5}" name="Country" dataDxfId="4">
      <calculatedColumnFormula>_xlfn.XLOOKUP(C2,customers!$A$1:$A$1001,customers!$G$1:$G$1001,,0)</calculatedColumnFormula>
    </tableColumn>
    <tableColumn id="9" xr3:uid="{11BDE73C-3DD6-4A49-870C-D710DFB18BB3}" name="Coffee Type">
      <calculatedColumnFormula>INDEX(products!$A$1:$G$49,MATCH(orders!$D2,products!$A$1:$A$49,0),MATCH(orders!I$1,products!$A$1:$G$1,0))</calculatedColumnFormula>
    </tableColumn>
    <tableColumn id="10" xr3:uid="{A7C3883D-3558-4C29-8E57-B3C765C55FCB}" name="Roast Type">
      <calculatedColumnFormula>INDEX(products!$A$1:$G$49,MATCH(orders!$D2,products!$A$1:$A$49,0),MATCH(orders!J$1,products!$A$1:$G$1,0))</calculatedColumnFormula>
    </tableColumn>
    <tableColumn id="11" xr3:uid="{8D0008DB-0C85-46B7-AFE8-1D1B6CB52267}" name="Size" dataDxfId="3">
      <calculatedColumnFormula>INDEX(products!$A$1:$G$49,MATCH(orders!$D2,products!$A$1:$A$49,0),MATCH(orders!K$1,products!$A$1:$G$1,0))</calculatedColumnFormula>
    </tableColumn>
    <tableColumn id="12" xr3:uid="{D9809E13-E2C7-4167-AEDD-42D15FC0D5BC}" name="Unit Price" dataDxfId="2">
      <calculatedColumnFormula>INDEX(products!$A$1:$G$49,MATCH(orders!$D2,products!$A$1:$A$49,0),MATCH(orders!L$1,products!$A$1:$G$1,0))</calculatedColumnFormula>
    </tableColumn>
    <tableColumn id="13" xr3:uid="{4D3BAA25-6EA8-4105-B80E-08CADAE08257}" name="Sales" dataDxfId="1">
      <calculatedColumnFormula>L2*E2</calculatedColumnFormula>
    </tableColumn>
    <tableColumn id="14" xr3:uid="{AB5E837F-9D30-4528-B1D6-88CAC4316A6F}" name="Cofee Type Name">
      <calculatedColumnFormula>IF(I2="Rob", "Robusta", IF(I2="Exc", "Excelsa", IF(I2="Ara","Arabica", IF(I2="Lib", "Liberica",""))))</calculatedColumnFormula>
    </tableColumn>
    <tableColumn id="15" xr3:uid="{9659FF8A-EB09-49ED-AF6A-57D1EB1A112A}" name="Roast Type Name">
      <calculatedColumnFormula>IF(J2="M", "Medium", IF(J2="L", "Light", IF(J2="D", "Dark","")))</calculatedColumnFormula>
    </tableColumn>
    <tableColumn id="16" xr3:uid="{4964DDC0-3525-498D-A861-2BC95CEE814D}" name="Loyalty Card" dataDxfId="0">
      <calculatedColumnFormula>_xlfn.XLOOKUP(Orders[[#This Row],[Customer ID]],customers!$A$1:$A$1001,customers!$I$1:$I$1001,,0)</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A2E3CE4C-4479-46EE-9ADC-1940DC4F112C}" sourceName="Order Date">
  <pivotTables>
    <pivotTable tabId="18" name="TotalSales"/>
  </pivotTables>
  <state minimalRefreshVersion="6" lastRefreshVersion="6" pivotCacheId="1914046948"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2BB58977-35C1-481C-8A53-70BFD3AB048E}" cache="NativeTimeline_Order_Date" caption="Order Date" level="2" selectionLevel="2" scrollPosition="2019-01-01T00:00:00" style="Timeline Style 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7C5E07BB-D855-454D-9FA9-96C39678112D}" cache="NativeTimeline_Order_Date" caption="Order Date" level="2" selectionLevel="2" scrollPosition="2020-12-29T00:00:00" style="Timeline Style 1"/>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1EFD8-3FDA-42B7-A610-01C06DE49A3C}">
  <dimension ref="A1:A27"/>
  <sheetViews>
    <sheetView tabSelected="1" zoomScaleNormal="100" workbookViewId="0">
      <selection activeCell="AB38" sqref="AB38"/>
    </sheetView>
  </sheetViews>
  <sheetFormatPr defaultRowHeight="14.4" x14ac:dyDescent="0.3"/>
  <cols>
    <col min="1" max="1" width="1.5546875" customWidth="1"/>
    <col min="12" max="12" width="1.5546875" customWidth="1"/>
    <col min="14" max="14" width="1.5546875" customWidth="1"/>
    <col min="19" max="19" width="1.5546875" customWidth="1"/>
  </cols>
  <sheetData>
    <row r="1" ht="4.95" customHeight="1" x14ac:dyDescent="0.3"/>
    <row r="6" ht="4.95" customHeight="1" x14ac:dyDescent="0.3"/>
    <row r="11" ht="4.95" customHeight="1" x14ac:dyDescent="0.3"/>
    <row r="18" ht="4.95" customHeight="1" x14ac:dyDescent="0.3"/>
    <row r="27"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F4000-99E4-4995-A16F-70BCE0174F73}">
  <dimension ref="A3:F48"/>
  <sheetViews>
    <sheetView workbookViewId="0">
      <selection activeCell="N28" sqref="N28"/>
    </sheetView>
  </sheetViews>
  <sheetFormatPr defaultRowHeight="14.4" x14ac:dyDescent="0.3"/>
  <cols>
    <col min="1" max="1" width="12.109375" bestFit="1" customWidth="1"/>
    <col min="2" max="2" width="20.109375" bestFit="1" customWidth="1"/>
    <col min="3" max="3" width="12.5546875" bestFit="1" customWidth="1"/>
    <col min="4" max="5" width="3.77734375" bestFit="1" customWidth="1"/>
    <col min="6" max="6" width="3.88671875" bestFit="1" customWidth="1"/>
  </cols>
  <sheetData>
    <row r="3" spans="1:6" x14ac:dyDescent="0.3">
      <c r="A3" s="6" t="s">
        <v>6216</v>
      </c>
      <c r="C3" s="6" t="s">
        <v>9</v>
      </c>
    </row>
    <row r="4" spans="1:6" x14ac:dyDescent="0.3">
      <c r="A4" s="6" t="s">
        <v>6214</v>
      </c>
      <c r="B4" s="6" t="s">
        <v>6215</v>
      </c>
      <c r="C4" t="s">
        <v>6193</v>
      </c>
      <c r="D4" t="s">
        <v>6194</v>
      </c>
      <c r="E4" t="s">
        <v>6195</v>
      </c>
      <c r="F4" t="s">
        <v>6192</v>
      </c>
    </row>
    <row r="5" spans="1:6" x14ac:dyDescent="0.3">
      <c r="A5" t="s">
        <v>6198</v>
      </c>
      <c r="B5" t="s">
        <v>6202</v>
      </c>
      <c r="C5" s="7">
        <v>186.85499999999999</v>
      </c>
      <c r="D5" s="7">
        <v>305.97000000000003</v>
      </c>
      <c r="E5" s="7">
        <v>213.15999999999997</v>
      </c>
      <c r="F5" s="7">
        <v>123</v>
      </c>
    </row>
    <row r="6" spans="1:6" x14ac:dyDescent="0.3">
      <c r="B6" t="s">
        <v>6203</v>
      </c>
      <c r="C6" s="7">
        <v>251.96499999999997</v>
      </c>
      <c r="D6" s="7">
        <v>129.46</v>
      </c>
      <c r="E6" s="7">
        <v>434.03999999999996</v>
      </c>
      <c r="F6" s="7">
        <v>171.93999999999997</v>
      </c>
    </row>
    <row r="7" spans="1:6" x14ac:dyDescent="0.3">
      <c r="B7" t="s">
        <v>6204</v>
      </c>
      <c r="C7" s="7">
        <v>224.94499999999999</v>
      </c>
      <c r="D7" s="7">
        <v>349.12</v>
      </c>
      <c r="E7" s="7">
        <v>321.04000000000002</v>
      </c>
      <c r="F7" s="7">
        <v>126.035</v>
      </c>
    </row>
    <row r="8" spans="1:6" x14ac:dyDescent="0.3">
      <c r="B8" t="s">
        <v>6205</v>
      </c>
      <c r="C8" s="7">
        <v>307.12</v>
      </c>
      <c r="D8" s="7">
        <v>681.07499999999993</v>
      </c>
      <c r="E8" s="7">
        <v>533.70499999999993</v>
      </c>
      <c r="F8" s="7">
        <v>158.85</v>
      </c>
    </row>
    <row r="9" spans="1:6" x14ac:dyDescent="0.3">
      <c r="B9" t="s">
        <v>6206</v>
      </c>
      <c r="C9" s="7">
        <v>53.664999999999992</v>
      </c>
      <c r="D9" s="7">
        <v>83.025000000000006</v>
      </c>
      <c r="E9" s="7">
        <v>193.83499999999998</v>
      </c>
      <c r="F9" s="7">
        <v>68.039999999999992</v>
      </c>
    </row>
    <row r="10" spans="1:6" x14ac:dyDescent="0.3">
      <c r="B10" t="s">
        <v>6207</v>
      </c>
      <c r="C10" s="7">
        <v>163.01999999999998</v>
      </c>
      <c r="D10" s="7">
        <v>678.3599999999999</v>
      </c>
      <c r="E10" s="7">
        <v>171.04500000000002</v>
      </c>
      <c r="F10" s="7">
        <v>372.255</v>
      </c>
    </row>
    <row r="11" spans="1:6" x14ac:dyDescent="0.3">
      <c r="B11" t="s">
        <v>6208</v>
      </c>
      <c r="C11" s="7">
        <v>345.02</v>
      </c>
      <c r="D11" s="7">
        <v>273.86999999999995</v>
      </c>
      <c r="E11" s="7">
        <v>184.12999999999997</v>
      </c>
      <c r="F11" s="7">
        <v>201.11499999999998</v>
      </c>
    </row>
    <row r="12" spans="1:6" x14ac:dyDescent="0.3">
      <c r="B12" t="s">
        <v>6209</v>
      </c>
      <c r="C12" s="7">
        <v>334.89</v>
      </c>
      <c r="D12" s="7">
        <v>70.95</v>
      </c>
      <c r="E12" s="7">
        <v>134.23000000000002</v>
      </c>
      <c r="F12" s="7">
        <v>166.27499999999998</v>
      </c>
    </row>
    <row r="13" spans="1:6" x14ac:dyDescent="0.3">
      <c r="B13" t="s">
        <v>6210</v>
      </c>
      <c r="C13" s="7">
        <v>178.70999999999998</v>
      </c>
      <c r="D13" s="7">
        <v>166.1</v>
      </c>
      <c r="E13" s="7">
        <v>439.30999999999995</v>
      </c>
      <c r="F13" s="7">
        <v>492.9</v>
      </c>
    </row>
    <row r="14" spans="1:6" x14ac:dyDescent="0.3">
      <c r="B14" t="s">
        <v>6211</v>
      </c>
      <c r="C14" s="7">
        <v>301.98500000000001</v>
      </c>
      <c r="D14" s="7">
        <v>153.76499999999999</v>
      </c>
      <c r="E14" s="7">
        <v>215.55499999999998</v>
      </c>
      <c r="F14" s="7">
        <v>213.66499999999999</v>
      </c>
    </row>
    <row r="15" spans="1:6" x14ac:dyDescent="0.3">
      <c r="B15" t="s">
        <v>6212</v>
      </c>
      <c r="C15" s="7">
        <v>312.83499999999998</v>
      </c>
      <c r="D15" s="7">
        <v>63.249999999999993</v>
      </c>
      <c r="E15" s="7">
        <v>350.89500000000004</v>
      </c>
      <c r="F15" s="7">
        <v>96.405000000000001</v>
      </c>
    </row>
    <row r="16" spans="1:6" x14ac:dyDescent="0.3">
      <c r="B16" t="s">
        <v>6213</v>
      </c>
      <c r="C16" s="7">
        <v>265.62</v>
      </c>
      <c r="D16" s="7">
        <v>526.51499999999987</v>
      </c>
      <c r="E16" s="7">
        <v>187.06</v>
      </c>
      <c r="F16" s="7">
        <v>210.58999999999997</v>
      </c>
    </row>
    <row r="17" spans="1:6" x14ac:dyDescent="0.3">
      <c r="A17" t="s">
        <v>6199</v>
      </c>
      <c r="B17" t="s">
        <v>6202</v>
      </c>
      <c r="C17" s="7">
        <v>47.25</v>
      </c>
      <c r="D17" s="7">
        <v>65.805000000000007</v>
      </c>
      <c r="E17" s="7">
        <v>274.67500000000001</v>
      </c>
      <c r="F17" s="7">
        <v>179.22</v>
      </c>
    </row>
    <row r="18" spans="1:6" x14ac:dyDescent="0.3">
      <c r="B18" t="s">
        <v>6203</v>
      </c>
      <c r="C18" s="7">
        <v>745.44999999999993</v>
      </c>
      <c r="D18" s="7">
        <v>428.88499999999999</v>
      </c>
      <c r="E18" s="7">
        <v>194.17499999999998</v>
      </c>
      <c r="F18" s="7">
        <v>429.82999999999993</v>
      </c>
    </row>
    <row r="19" spans="1:6" x14ac:dyDescent="0.3">
      <c r="B19" t="s">
        <v>6204</v>
      </c>
      <c r="C19" s="7">
        <v>130.47</v>
      </c>
      <c r="D19" s="7">
        <v>271.48500000000001</v>
      </c>
      <c r="E19" s="7">
        <v>281.20499999999998</v>
      </c>
      <c r="F19" s="7">
        <v>231.63000000000002</v>
      </c>
    </row>
    <row r="20" spans="1:6" x14ac:dyDescent="0.3">
      <c r="B20" t="s">
        <v>6205</v>
      </c>
      <c r="C20" s="7">
        <v>27</v>
      </c>
      <c r="D20" s="7">
        <v>347.26</v>
      </c>
      <c r="E20" s="7">
        <v>147.51</v>
      </c>
      <c r="F20" s="7">
        <v>240.04</v>
      </c>
    </row>
    <row r="21" spans="1:6" x14ac:dyDescent="0.3">
      <c r="B21" t="s">
        <v>6206</v>
      </c>
      <c r="C21" s="7">
        <v>255.11499999999995</v>
      </c>
      <c r="D21" s="7">
        <v>541.73</v>
      </c>
      <c r="E21" s="7">
        <v>83.43</v>
      </c>
      <c r="F21" s="7">
        <v>59.079999999999991</v>
      </c>
    </row>
    <row r="22" spans="1:6" x14ac:dyDescent="0.3">
      <c r="B22" t="s">
        <v>6207</v>
      </c>
      <c r="C22" s="7">
        <v>584.78999999999985</v>
      </c>
      <c r="D22" s="7">
        <v>357.42999999999995</v>
      </c>
      <c r="E22" s="7">
        <v>355.34</v>
      </c>
      <c r="F22" s="7">
        <v>140.88</v>
      </c>
    </row>
    <row r="23" spans="1:6" x14ac:dyDescent="0.3">
      <c r="B23" t="s">
        <v>6208</v>
      </c>
      <c r="C23" s="7">
        <v>430.62</v>
      </c>
      <c r="D23" s="7">
        <v>227.42500000000001</v>
      </c>
      <c r="E23" s="7">
        <v>236.315</v>
      </c>
      <c r="F23" s="7">
        <v>414.58499999999992</v>
      </c>
    </row>
    <row r="24" spans="1:6" x14ac:dyDescent="0.3">
      <c r="B24" t="s">
        <v>6209</v>
      </c>
      <c r="C24" s="7">
        <v>22.5</v>
      </c>
      <c r="D24" s="7">
        <v>77.72</v>
      </c>
      <c r="E24" s="7">
        <v>60.5</v>
      </c>
      <c r="F24" s="7">
        <v>139.67999999999998</v>
      </c>
    </row>
    <row r="25" spans="1:6" x14ac:dyDescent="0.3">
      <c r="B25" t="s">
        <v>6210</v>
      </c>
      <c r="C25" s="7">
        <v>126.14999999999999</v>
      </c>
      <c r="D25" s="7">
        <v>195.11</v>
      </c>
      <c r="E25" s="7">
        <v>89.13</v>
      </c>
      <c r="F25" s="7">
        <v>302.65999999999997</v>
      </c>
    </row>
    <row r="26" spans="1:6" x14ac:dyDescent="0.3">
      <c r="B26" t="s">
        <v>6211</v>
      </c>
      <c r="C26" s="7">
        <v>376.03</v>
      </c>
      <c r="D26" s="7">
        <v>523.24</v>
      </c>
      <c r="E26" s="7">
        <v>440.96499999999997</v>
      </c>
      <c r="F26" s="7">
        <v>174.46999999999997</v>
      </c>
    </row>
    <row r="27" spans="1:6" x14ac:dyDescent="0.3">
      <c r="B27" t="s">
        <v>6212</v>
      </c>
      <c r="C27" s="7">
        <v>515.17999999999995</v>
      </c>
      <c r="D27" s="7">
        <v>142.56</v>
      </c>
      <c r="E27" s="7">
        <v>347.03999999999996</v>
      </c>
      <c r="F27" s="7">
        <v>104.08499999999999</v>
      </c>
    </row>
    <row r="28" spans="1:6" x14ac:dyDescent="0.3">
      <c r="B28" t="s">
        <v>6213</v>
      </c>
      <c r="C28" s="7">
        <v>95.859999999999985</v>
      </c>
      <c r="D28" s="7">
        <v>484.76</v>
      </c>
      <c r="E28" s="7">
        <v>94.17</v>
      </c>
      <c r="F28" s="7">
        <v>77.10499999999999</v>
      </c>
    </row>
    <row r="29" spans="1:6" x14ac:dyDescent="0.3">
      <c r="A29" t="s">
        <v>6200</v>
      </c>
      <c r="B29" t="s">
        <v>6202</v>
      </c>
      <c r="C29" s="7">
        <v>258.34500000000003</v>
      </c>
      <c r="D29" s="7">
        <v>139.625</v>
      </c>
      <c r="E29" s="7">
        <v>279.52000000000004</v>
      </c>
      <c r="F29" s="7">
        <v>160.19499999999999</v>
      </c>
    </row>
    <row r="30" spans="1:6" x14ac:dyDescent="0.3">
      <c r="B30" t="s">
        <v>6203</v>
      </c>
      <c r="C30" s="7">
        <v>342.2</v>
      </c>
      <c r="D30" s="7">
        <v>284.24999999999994</v>
      </c>
      <c r="E30" s="7">
        <v>251.83</v>
      </c>
      <c r="F30" s="7">
        <v>80.550000000000011</v>
      </c>
    </row>
    <row r="31" spans="1:6" x14ac:dyDescent="0.3">
      <c r="B31" t="s">
        <v>6204</v>
      </c>
      <c r="C31" s="7">
        <v>418.30499999999989</v>
      </c>
      <c r="D31" s="7">
        <v>468.125</v>
      </c>
      <c r="E31" s="7">
        <v>405.05500000000006</v>
      </c>
      <c r="F31" s="7">
        <v>253.15499999999997</v>
      </c>
    </row>
    <row r="32" spans="1:6" x14ac:dyDescent="0.3">
      <c r="B32" t="s">
        <v>6205</v>
      </c>
      <c r="C32" s="7">
        <v>102.32999999999998</v>
      </c>
      <c r="D32" s="7">
        <v>242.14000000000001</v>
      </c>
      <c r="E32" s="7">
        <v>554.875</v>
      </c>
      <c r="F32" s="7">
        <v>106.23999999999998</v>
      </c>
    </row>
    <row r="33" spans="1:6" x14ac:dyDescent="0.3">
      <c r="B33" t="s">
        <v>6206</v>
      </c>
      <c r="C33" s="7">
        <v>234.71999999999997</v>
      </c>
      <c r="D33" s="7">
        <v>133.08000000000001</v>
      </c>
      <c r="E33" s="7">
        <v>267.2</v>
      </c>
      <c r="F33" s="7">
        <v>272.68999999999994</v>
      </c>
    </row>
    <row r="34" spans="1:6" x14ac:dyDescent="0.3">
      <c r="B34" t="s">
        <v>6207</v>
      </c>
      <c r="C34" s="7">
        <v>430.39</v>
      </c>
      <c r="D34" s="7">
        <v>136.20500000000001</v>
      </c>
      <c r="E34" s="7">
        <v>209.6</v>
      </c>
      <c r="F34" s="7">
        <v>88.334999999999994</v>
      </c>
    </row>
    <row r="35" spans="1:6" x14ac:dyDescent="0.3">
      <c r="B35" t="s">
        <v>6208</v>
      </c>
      <c r="C35" s="7">
        <v>109.005</v>
      </c>
      <c r="D35" s="7">
        <v>393.57499999999999</v>
      </c>
      <c r="E35" s="7">
        <v>61.034999999999997</v>
      </c>
      <c r="F35" s="7">
        <v>199.48999999999998</v>
      </c>
    </row>
    <row r="36" spans="1:6" x14ac:dyDescent="0.3">
      <c r="B36" t="s">
        <v>6209</v>
      </c>
      <c r="C36" s="7">
        <v>287.52499999999998</v>
      </c>
      <c r="D36" s="7">
        <v>288.67</v>
      </c>
      <c r="E36" s="7">
        <v>125.58</v>
      </c>
      <c r="F36" s="7">
        <v>374.13499999999999</v>
      </c>
    </row>
    <row r="37" spans="1:6" x14ac:dyDescent="0.3">
      <c r="B37" t="s">
        <v>6210</v>
      </c>
      <c r="C37" s="7">
        <v>840.92999999999984</v>
      </c>
      <c r="D37" s="7">
        <v>409.875</v>
      </c>
      <c r="E37" s="7">
        <v>171.32999999999998</v>
      </c>
      <c r="F37" s="7">
        <v>221.43999999999997</v>
      </c>
    </row>
    <row r="38" spans="1:6" x14ac:dyDescent="0.3">
      <c r="B38" t="s">
        <v>6211</v>
      </c>
      <c r="C38" s="7">
        <v>299.07</v>
      </c>
      <c r="D38" s="7">
        <v>260.32499999999999</v>
      </c>
      <c r="E38" s="7">
        <v>584.64</v>
      </c>
      <c r="F38" s="7">
        <v>256.36500000000001</v>
      </c>
    </row>
    <row r="39" spans="1:6" x14ac:dyDescent="0.3">
      <c r="B39" t="s">
        <v>6212</v>
      </c>
      <c r="C39" s="7">
        <v>323.32499999999999</v>
      </c>
      <c r="D39" s="7">
        <v>565.57000000000005</v>
      </c>
      <c r="E39" s="7">
        <v>537.80999999999995</v>
      </c>
      <c r="F39" s="7">
        <v>189.47499999999999</v>
      </c>
    </row>
    <row r="40" spans="1:6" x14ac:dyDescent="0.3">
      <c r="B40" t="s">
        <v>6213</v>
      </c>
      <c r="C40" s="7">
        <v>399.48499999999996</v>
      </c>
      <c r="D40" s="7">
        <v>148.19999999999999</v>
      </c>
      <c r="E40" s="7">
        <v>388.21999999999997</v>
      </c>
      <c r="F40" s="7">
        <v>212.07499999999999</v>
      </c>
    </row>
    <row r="41" spans="1:6" x14ac:dyDescent="0.3">
      <c r="A41" t="s">
        <v>6201</v>
      </c>
      <c r="B41" t="s">
        <v>6202</v>
      </c>
      <c r="C41" s="7">
        <v>112.69499999999999</v>
      </c>
      <c r="D41" s="7">
        <v>166.32</v>
      </c>
      <c r="E41" s="7">
        <v>843.71499999999992</v>
      </c>
      <c r="F41" s="7">
        <v>146.685</v>
      </c>
    </row>
    <row r="42" spans="1:6" x14ac:dyDescent="0.3">
      <c r="B42" t="s">
        <v>6203</v>
      </c>
      <c r="C42" s="7">
        <v>114.87999999999998</v>
      </c>
      <c r="D42" s="7">
        <v>133.815</v>
      </c>
      <c r="E42" s="7">
        <v>91.175000000000011</v>
      </c>
      <c r="F42" s="7">
        <v>53.759999999999991</v>
      </c>
    </row>
    <row r="43" spans="1:6" x14ac:dyDescent="0.3">
      <c r="B43" t="s">
        <v>6204</v>
      </c>
      <c r="C43" s="7">
        <v>277.76</v>
      </c>
      <c r="D43" s="7">
        <v>175.41</v>
      </c>
      <c r="E43" s="7">
        <v>462.50999999999993</v>
      </c>
      <c r="F43" s="7">
        <v>399.52499999999998</v>
      </c>
    </row>
    <row r="44" spans="1:6" x14ac:dyDescent="0.3">
      <c r="B44" t="s">
        <v>6205</v>
      </c>
      <c r="C44" s="7">
        <v>197.89499999999998</v>
      </c>
      <c r="D44" s="7">
        <v>289.755</v>
      </c>
      <c r="E44" s="7">
        <v>88.545000000000002</v>
      </c>
      <c r="F44" s="7">
        <v>200.25499999999997</v>
      </c>
    </row>
    <row r="45" spans="1:6" x14ac:dyDescent="0.3">
      <c r="B45" t="s">
        <v>6206</v>
      </c>
      <c r="C45" s="7">
        <v>193.11499999999998</v>
      </c>
      <c r="D45" s="7">
        <v>212.49499999999998</v>
      </c>
      <c r="E45" s="7">
        <v>292.29000000000002</v>
      </c>
      <c r="F45" s="7">
        <v>304.46999999999997</v>
      </c>
    </row>
    <row r="46" spans="1:6" x14ac:dyDescent="0.3">
      <c r="B46" t="s">
        <v>6207</v>
      </c>
      <c r="C46" s="7">
        <v>179.79</v>
      </c>
      <c r="D46" s="7">
        <v>426.2</v>
      </c>
      <c r="E46" s="7">
        <v>170.08999999999997</v>
      </c>
      <c r="F46" s="7">
        <v>379.31</v>
      </c>
    </row>
    <row r="47" spans="1:6" x14ac:dyDescent="0.3">
      <c r="B47" t="s">
        <v>6208</v>
      </c>
      <c r="C47" s="7">
        <v>247.28999999999996</v>
      </c>
      <c r="D47" s="7">
        <v>246.685</v>
      </c>
      <c r="E47" s="7">
        <v>271.05499999999995</v>
      </c>
      <c r="F47" s="7">
        <v>141.69999999999999</v>
      </c>
    </row>
    <row r="48" spans="1:6" x14ac:dyDescent="0.3">
      <c r="B48" t="s">
        <v>6209</v>
      </c>
      <c r="C48" s="7">
        <v>116.39499999999998</v>
      </c>
      <c r="D48" s="7">
        <v>41.25</v>
      </c>
      <c r="E48" s="7">
        <v>15.54</v>
      </c>
      <c r="F48" s="7">
        <v>71.06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35513-581B-47A0-BABC-6994F29641AE}">
  <dimension ref="A3:B6"/>
  <sheetViews>
    <sheetView workbookViewId="0">
      <selection activeCell="L13" sqref="L13"/>
    </sheetView>
  </sheetViews>
  <sheetFormatPr defaultRowHeight="14.4" x14ac:dyDescent="0.3"/>
  <cols>
    <col min="1" max="1" width="13.5546875" bestFit="1" customWidth="1"/>
    <col min="2" max="2" width="11.109375" bestFit="1" customWidth="1"/>
    <col min="3" max="3" width="3.109375" bestFit="1" customWidth="1"/>
    <col min="4" max="4" width="3.88671875" bestFit="1" customWidth="1"/>
    <col min="5" max="5" width="5.21875" bestFit="1" customWidth="1"/>
    <col min="6" max="6" width="3.88671875" bestFit="1" customWidth="1"/>
  </cols>
  <sheetData>
    <row r="3" spans="1:2" x14ac:dyDescent="0.3">
      <c r="A3" s="6" t="s">
        <v>7</v>
      </c>
      <c r="B3" t="s">
        <v>6216</v>
      </c>
    </row>
    <row r="4" spans="1:2" x14ac:dyDescent="0.3">
      <c r="A4" t="s">
        <v>28</v>
      </c>
      <c r="B4" s="8">
        <v>2798.5050000000001</v>
      </c>
    </row>
    <row r="5" spans="1:2" x14ac:dyDescent="0.3">
      <c r="A5" t="s">
        <v>318</v>
      </c>
      <c r="B5" s="8">
        <v>6696.8649999999989</v>
      </c>
    </row>
    <row r="6" spans="1:2" x14ac:dyDescent="0.3">
      <c r="A6" t="s">
        <v>19</v>
      </c>
      <c r="B6" s="8">
        <v>35638.88499999998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E0809-2809-48EA-8199-28F352D44B8C}">
  <dimension ref="A3:B8"/>
  <sheetViews>
    <sheetView workbookViewId="0">
      <selection activeCell="B6" sqref="B6"/>
    </sheetView>
  </sheetViews>
  <sheetFormatPr defaultRowHeight="14.4" x14ac:dyDescent="0.3"/>
  <cols>
    <col min="1" max="1" width="16.109375" bestFit="1" customWidth="1"/>
    <col min="2" max="2" width="11.109375" bestFit="1" customWidth="1"/>
    <col min="3" max="3" width="3.109375" bestFit="1" customWidth="1"/>
    <col min="4" max="4" width="3.88671875" bestFit="1" customWidth="1"/>
    <col min="5" max="5" width="5.21875" bestFit="1" customWidth="1"/>
    <col min="6" max="6" width="3.88671875" bestFit="1" customWidth="1"/>
  </cols>
  <sheetData>
    <row r="3" spans="1:2" x14ac:dyDescent="0.3">
      <c r="A3" s="6" t="s">
        <v>4</v>
      </c>
      <c r="B3" t="s">
        <v>6216</v>
      </c>
    </row>
    <row r="4" spans="1:2" x14ac:dyDescent="0.3">
      <c r="A4" t="s">
        <v>3753</v>
      </c>
      <c r="B4" s="8">
        <v>278.01</v>
      </c>
    </row>
    <row r="5" spans="1:2" x14ac:dyDescent="0.3">
      <c r="A5" t="s">
        <v>1598</v>
      </c>
      <c r="B5" s="8">
        <v>281.67499999999995</v>
      </c>
    </row>
    <row r="6" spans="1:2" x14ac:dyDescent="0.3">
      <c r="A6" t="s">
        <v>2587</v>
      </c>
      <c r="B6" s="8">
        <v>289.11</v>
      </c>
    </row>
    <row r="7" spans="1:2" x14ac:dyDescent="0.3">
      <c r="A7" t="s">
        <v>5765</v>
      </c>
      <c r="B7" s="8">
        <v>307.04499999999996</v>
      </c>
    </row>
    <row r="8" spans="1:2" x14ac:dyDescent="0.3">
      <c r="A8" t="s">
        <v>5114</v>
      </c>
      <c r="B8" s="8">
        <v>317.06999999999994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115" zoomScaleNormal="115" workbookViewId="0">
      <selection activeCell="L13" sqref="L13"/>
    </sheetView>
  </sheetViews>
  <sheetFormatPr defaultRowHeight="14.4" x14ac:dyDescent="0.3"/>
  <cols>
    <col min="1" max="1" width="16.5546875" bestFit="1" customWidth="1"/>
    <col min="2" max="2" width="11.88671875" bestFit="1" customWidth="1"/>
    <col min="3" max="3" width="17.44140625" bestFit="1" customWidth="1"/>
    <col min="4" max="4" width="11.33203125" customWidth="1"/>
    <col min="5" max="5" width="9.77734375" customWidth="1"/>
    <col min="6" max="6" width="21.88671875" bestFit="1" customWidth="1"/>
    <col min="7" max="7" width="36" bestFit="1" customWidth="1"/>
    <col min="8" max="8" width="14.33203125" bestFit="1" customWidth="1"/>
    <col min="9" max="9" width="12.6640625" customWidth="1"/>
    <col min="10" max="10" width="11.6640625" customWidth="1"/>
    <col min="11" max="11" width="5.88671875" bestFit="1" customWidth="1"/>
    <col min="12" max="12" width="10.77734375" customWidth="1"/>
    <col min="13" max="13" width="8.33203125" bestFit="1" customWidth="1"/>
    <col min="14" max="14" width="17.44140625" customWidth="1"/>
    <col min="15" max="15" width="17.21875" customWidth="1"/>
    <col min="16" max="16" width="12.88671875"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 "Robusta", IF(I2="Exc", "Excelsa", IF(I2="Ara","Arabica", IF(I2="Lib", "Liberica",""))))</f>
        <v>Robusta</v>
      </c>
      <c r="O2" t="str">
        <f>IF(J2="M", "Medium", IF(J2="L", "Light", IF(J2="D", "Dark","")))</f>
        <v>Medium</v>
      </c>
      <c r="P2" t="str">
        <f>_xlfn.XLOOKUP(Orders[[#This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 "Robusta", IF(I3="Exc", "Excelsa", IF(I3="Ara","Arabica", IF(I3="Lib", "Liberica",""))))</f>
        <v>Excelsa</v>
      </c>
      <c r="O3" t="str">
        <f t="shared" ref="O3:O66" si="2">IF(J3="M", "Medium", IF(J3="L", "Light", IF(J3="D", "Dark","")))</f>
        <v>Medium</v>
      </c>
      <c r="P3" t="str">
        <f>_xlfn.XLOOKUP(Orders[[#This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 "Robusta", IF(I67="Exc", "Excelsa", IF(I67="Ara","Arabica", IF(I67="Lib", "Liberica",""))))</f>
        <v>Robusta</v>
      </c>
      <c r="O67" t="str">
        <f t="shared" ref="O67:O130" si="5">IF(J67="M", "Medium", IF(J67="L", "Light", IF(J67="D", "Dark","")))</f>
        <v>Dark</v>
      </c>
      <c r="P67" t="str">
        <f>_xlfn.XLOOKUP(Orders[[#This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 "Robusta", IF(I131="Exc", "Excelsa", IF(I131="Ara","Arabica", IF(I131="Lib", "Liberica",""))))</f>
        <v>Excelsa</v>
      </c>
      <c r="O131" t="str">
        <f t="shared" ref="O131:O194" si="8">IF(J131="M", "Medium", IF(J131="L", "Light", IF(J131="D", "Dark","")))</f>
        <v>Dark</v>
      </c>
      <c r="P131" t="str">
        <f>_xlfn.XLOOKUP(Orders[[#This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 "Robusta", IF(I195="Exc", "Excelsa", IF(I195="Ara","Arabica", IF(I195="Lib", "Liberica",""))))</f>
        <v>Excelsa</v>
      </c>
      <c r="O195" t="str">
        <f t="shared" ref="O195:O258" si="11">IF(J195="M", "Medium", IF(J195="L", "Light", IF(J195="D", "Dark","")))</f>
        <v>Light</v>
      </c>
      <c r="P195" t="str">
        <f>_xlfn.XLOOKUP(Orders[[#This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 "Robusta", IF(I259="Exc", "Excelsa", IF(I259="Ara","Arabica", IF(I259="Lib", "Liberica",""))))</f>
        <v>Excelsa</v>
      </c>
      <c r="O259" t="str">
        <f t="shared" ref="O259:O322" si="14">IF(J259="M", "Medium", IF(J259="L", "Light", IF(J259="D", "Dark","")))</f>
        <v>Dark</v>
      </c>
      <c r="P259" t="str">
        <f>_xlfn.XLOOKUP(Orders[[#This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 "Robusta", IF(I323="Exc", "Excelsa", IF(I323="Ara","Arabica", IF(I323="Lib", "Liberica",""))))</f>
        <v>Arabica</v>
      </c>
      <c r="O323" t="str">
        <f t="shared" ref="O323:O386" si="17">IF(J323="M", "Medium", IF(J323="L", "Light", IF(J323="D", "Dark","")))</f>
        <v>Medium</v>
      </c>
      <c r="P323" t="str">
        <f>_xlfn.XLOOKUP(Orders[[#This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 "Robusta", IF(I387="Exc", "Excelsa", IF(I387="Ara","Arabica", IF(I387="Lib", "Liberica",""))))</f>
        <v>Liberica</v>
      </c>
      <c r="O387" t="str">
        <f t="shared" ref="O387:O450" si="20">IF(J387="M", "Medium", IF(J387="L", "Light", IF(J387="D", "Dark","")))</f>
        <v>Medium</v>
      </c>
      <c r="P387" t="str">
        <f>_xlfn.XLOOKUP(Orders[[#This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 "Robusta", IF(I451="Exc", "Excelsa", IF(I451="Ara","Arabica", IF(I451="Lib", "Liberica",""))))</f>
        <v>Robusta</v>
      </c>
      <c r="O451" t="str">
        <f t="shared" ref="O451:O514" si="23">IF(J451="M", "Medium", IF(J451="L", "Light", IF(J451="D", "Dark","")))</f>
        <v>Dark</v>
      </c>
      <c r="P451" t="str">
        <f>_xlfn.XLOOKUP(Orders[[#This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 "Robusta", IF(I515="Exc", "Excelsa", IF(I515="Ara","Arabica", IF(I515="Lib", "Liberica",""))))</f>
        <v>Liberica</v>
      </c>
      <c r="O515" t="str">
        <f t="shared" ref="O515:O578" si="26">IF(J515="M", "Medium", IF(J515="L", "Light", IF(J515="D", "Dark","")))</f>
        <v>Light</v>
      </c>
      <c r="P515" t="str">
        <f>_xlfn.XLOOKUP(Orders[[#This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 "Robusta", IF(I579="Exc", "Excelsa", IF(I579="Ara","Arabica", IF(I579="Lib", "Liberica",""))))</f>
        <v>Liberica</v>
      </c>
      <c r="O579" t="str">
        <f t="shared" ref="O579:O642" si="29">IF(J579="M", "Medium", IF(J579="L", "Light", IF(J579="D", "Dark","")))</f>
        <v>Medium</v>
      </c>
      <c r="P579" t="str">
        <f>_xlfn.XLOOKUP(Orders[[#This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 "Robusta", IF(I643="Exc", "Excelsa", IF(I643="Ara","Arabica", IF(I643="Lib", "Liberica",""))))</f>
        <v>Robusta</v>
      </c>
      <c r="O643" t="str">
        <f t="shared" ref="O643:O706" si="32">IF(J643="M", "Medium", IF(J643="L", "Light", IF(J643="D", "Dark","")))</f>
        <v>Light</v>
      </c>
      <c r="P643" t="str">
        <f>_xlfn.XLOOKUP(Orders[[#This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 "Robusta", IF(I707="Exc", "Excelsa", IF(I707="Ara","Arabica", IF(I707="Lib", "Liberica",""))))</f>
        <v>Excelsa</v>
      </c>
      <c r="O707" t="str">
        <f t="shared" ref="O707:O770" si="35">IF(J707="M", "Medium", IF(J707="L", "Light", IF(J707="D", "Dark","")))</f>
        <v>Light</v>
      </c>
      <c r="P707" t="str">
        <f>_xlfn.XLOOKUP(Orders[[#This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 "Robusta", IF(I771="Exc", "Excelsa", IF(I771="Ara","Arabica", IF(I771="Lib", "Liberica",""))))</f>
        <v>Robusta</v>
      </c>
      <c r="O771" t="str">
        <f t="shared" ref="O771:O834" si="38">IF(J771="M", "Medium", IF(J771="L", "Light", IF(J771="D", "Dark","")))</f>
        <v>Medium</v>
      </c>
      <c r="P771" t="str">
        <f>_xlfn.XLOOKUP(Orders[[#This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 "Robusta", IF(I835="Exc", "Excelsa", IF(I835="Ara","Arabica", IF(I835="Lib", "Liberica",""))))</f>
        <v>Robusta</v>
      </c>
      <c r="O835" t="str">
        <f t="shared" ref="O835:O898" si="41">IF(J835="M", "Medium", IF(J835="L", "Light", IF(J835="D", "Dark","")))</f>
        <v>Dark</v>
      </c>
      <c r="P835" t="str">
        <f>_xlfn.XLOOKUP(Orders[[#This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 "Robusta", IF(I899="Exc", "Excelsa", IF(I899="Ara","Arabica", IF(I899="Lib", "Liberica",""))))</f>
        <v>Excelsa</v>
      </c>
      <c r="O899" t="str">
        <f t="shared" ref="O899:O962" si="44">IF(J899="M", "Medium", IF(J899="L", "Light", IF(J899="D", "Dark","")))</f>
        <v>Dark</v>
      </c>
      <c r="P899" t="str">
        <f>_xlfn.XLOOKUP(Orders[[#This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 "Robusta", IF(I963="Exc", "Excelsa", IF(I963="Ara","Arabica", IF(I963="Lib", "Liberica",""))))</f>
        <v>Arabica</v>
      </c>
      <c r="O963" t="str">
        <f t="shared" ref="O963:O1001" si="47">IF(J963="M", "Medium", IF(J963="L", "Light", IF(J963="D", "Dark","")))</f>
        <v>Dark</v>
      </c>
      <c r="P963" t="str">
        <f>_xlfn.XLOOKUP(Orders[[#This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73" workbookViewId="0">
      <selection activeCell="I1" sqref="I1"/>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A20" sqref="A20:XFD20"/>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Abigail Darson</dc:creator>
  <cp:keywords/>
  <dc:description/>
  <cp:lastModifiedBy>Abigail Darson</cp:lastModifiedBy>
  <cp:revision/>
  <dcterms:created xsi:type="dcterms:W3CDTF">2022-11-26T09:51:45Z</dcterms:created>
  <dcterms:modified xsi:type="dcterms:W3CDTF">2026-10-07T03:03:29Z</dcterms:modified>
  <cp:category/>
  <cp:contentStatus/>
</cp:coreProperties>
</file>